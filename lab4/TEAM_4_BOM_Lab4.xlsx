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fab9eb631d1486f" /></Relationships>
</file>

<file path=xl/workbook.xml><?xml version="1.0" encoding="utf-8"?>
<x:workbook xmlns:x="http://schemas.openxmlformats.org/spreadsheetml/2006/main">
  <x:sheets>
    <x:sheet xmlns:r="http://schemas.openxmlformats.org/officeDocument/2006/relationships" name="Specialty parts" sheetId="1" r:id="R447be08a10a94b35"/>
    <x:sheet xmlns:r="http://schemas.openxmlformats.org/officeDocument/2006/relationships" name="Common parts" sheetId="2" r:id="Rd9b0e620c13b478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sz val="10"/>
      <x:color rgb="FF253246"/>
      <x:name val="Arial"/>
    </x:font>
    <x:font>
      <x:b/>
      <x:sz val="10"/>
      <x:color rgb="FFFFFFFF"/>
      <x:name val="Arial"/>
    </x:font>
    <x:font>
      <x:b/>
      <x:sz val="14"/>
      <x:color rgb="FF24374B"/>
      <x:name val="Arial"/>
    </x:font>
    <x:font>
      <x:sz val="10"/>
      <x:color rgb="FF465569"/>
      <x:name val="Arial"/>
    </x:font>
    <x:font>
      <x:i/>
      <x:sz val="10"/>
      <x:color rgb="FF465569"/>
      <x:name val="Arial"/>
    </x:font>
    <x:font>
      <x:u val="single"/>
      <x:sz val="10"/>
      <x:color rgb="FF145DA0"/>
      <x:name val="Arial"/>
    </x:font>
  </x:fonts>
  <x:fills count="5">
    <x:fill>
      <x:patternFill patternType="none"/>
    </x:fill>
    <x:fill>
      <x:patternFill patternType="gray125"/>
    </x:fill>
    <x:fill>
      <x:patternFill patternType="solid">
        <x:fgColor rgb="FFFFF4CE"/>
      </x:patternFill>
    </x:fill>
    <x:fill>
      <x:patternFill patternType="solid">
        <x:fgColor rgb="FF24374B"/>
      </x:patternFill>
    </x:fill>
    <x:fill>
      <x:patternFill patternType="solid">
        <x:fgColor rgb="FFFFFFFF"/>
      </x:patternFill>
    </x:fill>
  </x:fills>
  <x:borders count="1">
    <x:border>
      <x:left/>
      <x:right/>
      <x:top/>
      <x:bottom/>
      <x:diagonal/>
    </x:border>
  </x:borders>
  <x:cellStyleXfs count="1">
    <x:xf numFmtId="0" fontId="0" fillId="0" borderId="0"/>
  </x:cellStyleXfs>
  <x:cellXfs count="2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2" fillId="3" borderId="0" xfId="0" applyNumberFormat="1" applyFont="1" applyFill="1" applyBorder="1" applyAlignment="1">
      <x:alignment vertical="center"/>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1" fillId="2"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1" fillId="2" borderId="0" xfId="0" applyNumberFormat="1" applyFont="1" applyFill="1" applyBorder="1" applyAlignment="1">
      <x:alignment horizontal="right" vertical="center" wrapText="1"/>
    </x:xf>
    <x:xf numFmtId="0" fontId="6" fillId="2"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4" borderId="0" xfId="0" applyNumberFormat="1" applyFont="1" applyFill="1" applyBorder="1" applyAlignment="1">
      <x:alignment horizontal="right" vertical="center" wrapText="1"/>
    </x:xf>
    <x:xf numFmtId="0" fontId="6" fillId="4" borderId="0" xfId="0" applyNumberFormat="1" applyFont="1" applyFill="1" applyBorder="1" applyAlignment="1">
      <x:alignment vertical="center" wrapText="1"/>
    </x:xf>
  </x:cellXfs>
  <x:cellStyles count="1">
    <x:cellStyle name="Normal" xfId="0"/>
  </x:cellStyles>
  <x:dxfs count="2">
    <x:dxf>
      <x:font>
        <x:b/>
        <x:color rgb="FF7A3400"/>
      </x:font>
      <x:fill>
        <x:patternFill patternType="solid">
          <x:bgColor rgb="FFFFE2B6"/>
        </x:patternFill>
      </x:fill>
    </x:dxf>
    <x:dxf>
      <x:font>
        <x:b/>
        <x:color rgb="FF7A3400"/>
      </x:font>
      <x:fill>
        <x:patternFill patternType="solid">
          <x:bgColor rgb="FFFFE2B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8cf09e7e5804560" /><Relationship Type="http://schemas.openxmlformats.org/officeDocument/2006/relationships/theme" Target="/xl/theme/theme1.xml" Id="Rcc8400c38aa64b55" /><Relationship Type="http://schemas.openxmlformats.org/officeDocument/2006/relationships/sharedStrings" Target="/xl/sharedStrings.xml" Id="R93a0690b20714638" /><Relationship Type="http://schemas.openxmlformats.org/officeDocument/2006/relationships/worksheet" Target="/xl/worksheets/sheet1.xml" Id="R447be08a10a94b35" /><Relationship Type="http://schemas.openxmlformats.org/officeDocument/2006/relationships/worksheet" Target="/xl/worksheets/sheet2.xml" Id="Rd9b0e620c13b4784" /></Relationships>
</file>

<file path=xl/tables/table1.xml><?xml version="1.0" encoding="utf-8"?>
<x:table xmlns:x="http://schemas.openxmlformats.org/spreadsheetml/2006/main" id="1" name="SpecialtyBOM" displayName="SpecialtyBOM" ref="A8:L57" headerRowCount="1" totalsRowCount="0" totalsRowShown="0">
  <x:autoFilter ref="A8:L57"/>
  <x:tableColumns count="12">
    <x:tableColumn id="1" name="Part / MPN / specification"/>
    <x:tableColumn id="2" name="Description"/>
    <x:tableColumn id="3" name="In design"/>
    <x:tableColumn id="4" name="Off-board"/>
    <x:tableColumn id="5" name="Spares"/>
    <x:tableColumn id="6" name="Total requested"/>
    <x:tableColumn id="7" name="Unit"/>
    <x:tableColumn id="8" name="Supplier / source"/>
    <x:tableColumn id="9" name="TA review / purchasing note"/>
    <x:tableColumn id="10" name="References"/>
    <x:tableColumn id="11" name="Footprint / package"/>
    <x:tableColumn id="12" name="Manufacturer"/>
  </x:tableColumns>
  <x:tableStyleInfo name="TableStyleMedium2" showFirstColumn="0" showLastColumn="0" showRowStripes="1" showColumnStripes="0"/>
</x:table>
</file>

<file path=xl/tables/table2.xml><?xml version="1.0" encoding="utf-8"?>
<x:table xmlns:x="http://schemas.openxmlformats.org/spreadsheetml/2006/main" id="2" name="CommonBOM" displayName="CommonBOM" ref="A8:L44" headerRowCount="1" totalsRowCount="0" totalsRowShown="0">
  <x:autoFilter ref="A8:L44"/>
  <x:tableColumns count="12">
    <x:tableColumn id="1" name="Part / MPN / specification"/>
    <x:tableColumn id="2" name="Description"/>
    <x:tableColumn id="3" name="In design"/>
    <x:tableColumn id="4" name="Off-board"/>
    <x:tableColumn id="5" name="Spares"/>
    <x:tableColumn id="6" name="Total requested"/>
    <x:tableColumn id="7" name="Unit"/>
    <x:tableColumn id="8" name="Supplier / source"/>
    <x:tableColumn id="9" name="TA review / purchasing note"/>
    <x:tableColumn id="10" name="References"/>
    <x:tableColumn id="11" name="Footprint / package"/>
    <x:tableColumn id="12" name="Manufacturer"/>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
<ns0:Relationships xmlns:ns0="http://schemas.openxmlformats.org/package/2006/relationships"><ns0:Relationship Type="http://schemas.openxmlformats.org/officeDocument/2006/relationships/table" Target="/xl/tables/table1.xml" Id="Rc4f6e18bc4144bf0" /><ns0:Relationship Id="rIdBOMLink1" Type="http://schemas.openxmlformats.org/officeDocument/2006/relationships/hyperlink" Target="https://github.com/fmarples/18649_team4/blob/6164a13918b08bc5ddbff36e200d9e7a8c292dcc/lab4/Preliminary-BOM.csv" TargetMode="External" /><ns0:Relationship Id="rIdBOMLink2" Type="http://schemas.openxmlformats.org/officeDocument/2006/relationships/hyperlink" Target="https://18449-f26.slack.com/archives/C0BRYGTD4HH/p1792789284321879" TargetMode="External" /><ns0:Relationship Id="rIdBOMLink3" Type="http://schemas.openxmlformats.org/officeDocument/2006/relationships/hyperlink" Target="https://18449-f26.slack.com/archives/C0BRYGTD4HH/p1793052274317539" TargetMode="External" /><ns0:Relationship Id="rIdBOMLink4" Type="http://schemas.openxmlformats.org/officeDocument/2006/relationships/hyperlink" Target="https://www.digikey.com/en/products/detail/murata-electronics/GRM1885C1H180JA01D/586919" TargetMode="External" /><ns0:Relationship Id="rIdBOMLink5" Type="http://schemas.openxmlformats.org/officeDocument/2006/relationships/hyperlink" Target="https://www.digikey.com/en/products/detail/vishay-dale/WSL2512R0100FEA/712561" TargetMode="External" /><ns0:Relationship Id="rIdBOMLink6" Type="http://schemas.openxmlformats.org/officeDocument/2006/relationships/hyperlink" Target="https://www.digikey.com/en/products/detail/texas-instruments/INA180A2IDBVR/8132987" TargetMode="External" /><ns0:Relationship Id="rIdBOMLink7" Type="http://schemas.openxmlformats.org/officeDocument/2006/relationships/hyperlink" Target="https://www.digikey.com/en/products/detail/hirose-electric-co-ltd/DF63M-2P-3-96DSA/9695031" TargetMode="External" /><ns0:Relationship Id="rIdBOMLink8" Type="http://schemas.openxmlformats.org/officeDocument/2006/relationships/hyperlink" Target="https://www.digikey.com/en/products/detail/keystone-electronics/3568/2137306" TargetMode="External" /><ns0:Relationship Id="rIdBOMLink9" Type="http://schemas.openxmlformats.org/officeDocument/2006/relationships/hyperlink" Target="https://www.digikey.com/en/products/detail/diodes-incorporated/DMPH3010LK3-13/7352990" TargetMode="External" /><ns0:Relationship Id="rIdBOMLink10" Type="http://schemas.openxmlformats.org/officeDocument/2006/relationships/hyperlink" Target="https://www.digikey.com/en/products/detail/diotec-semiconductor/BZT52C12/22189788" TargetMode="External" /><ns0:Relationship Id="rIdBOMLink11" Type="http://schemas.openxmlformats.org/officeDocument/2006/relationships/hyperlink" Target="https://www.digikey.com/en/products/detail/nichicon/UPW1E102MHD/589572" TargetMode="External" /><ns0:Relationship Id="rIdBOMLink12" Type="http://schemas.openxmlformats.org/officeDocument/2006/relationships/hyperlink" Target="https://www.digikey.com/en/products/detail/murata-electronics/GRM32ER61E226KE15L/965903" TargetMode="External" /><ns0:Relationship Id="rIdBOMLink13" Type="http://schemas.openxmlformats.org/officeDocument/2006/relationships/hyperlink" Target="https://www.digikey.com/en/products/detail/murata-electronics/GRM188R71H104KA93D/587143" TargetMode="External" /><ns0:Relationship Id="rIdBOMLink14" Type="http://schemas.openxmlformats.org/officeDocument/2006/relationships/hyperlink" Target="https://www.digikey.com/en/products/detail/yageo/RC0603FR-07100KL/726889" TargetMode="External" /><ns0:Relationship Id="rIdBOMLink15" Type="http://schemas.openxmlformats.org/officeDocument/2006/relationships/hyperlink" Target="https://www.digikey.com/en/products/detail/yageo/RT0603BRD0775KL/5139178 ; alternate: https://www.digikey.com/en/products/detail/susumu/RG1608P-753-B-T5/1240628" TargetMode="External" /><ns0:Relationship Id="rIdBOMLink16" Type="http://schemas.openxmlformats.org/officeDocument/2006/relationships/hyperlink" Target="https://www.digikey.com/en/products/detail/yageo/RT0603BRD0710KL/4340589" TargetMode="External" /><ns0:Relationship Id="rIdBOMLink17" Type="http://schemas.openxmlformats.org/officeDocument/2006/relationships/hyperlink" Target="https://www.digikey.com/en/products/detail/yageo/RC0603FR-0733KL/727159" TargetMode="External" /><ns0:Relationship Id="rIdBOMLink18" Type="http://schemas.openxmlformats.org/officeDocument/2006/relationships/hyperlink" Target="https://www.digikey.com/en/products/detail/yageo/RC0603FR-0745K3L/727245" TargetMode="External" /><ns0:Relationship Id="rIdBOMLink19" Type="http://schemas.openxmlformats.org/officeDocument/2006/relationships/hyperlink" Target="https://www.digikey.com/en/products/detail/yageo/RC0603FR-0722KL/730003 ; alternate: https://www.digikey.com/en/products/detail/panasonic-industry/ERJ-3EKF2202V/1746336" TargetMode="External" /><ns0:Relationship Id="rIdBOMLink20" Type="http://schemas.openxmlformats.org/officeDocument/2006/relationships/hyperlink" Target="https://www.digikey.com/en/products/detail/yageo/CC0603JRX7R7BB105/7164369" TargetMode="External" /><ns0:Relationship Id="rIdBOMLink21" Type="http://schemas.openxmlformats.org/officeDocument/2006/relationships/hyperlink" Target="https://www.digikey.com/en/products/detail/samtec-inc/ESQ-120-44-L-D/6694728" TargetMode="External" /><ns0:Relationship Id="rIdBOMLink22" Type="http://schemas.openxmlformats.org/officeDocument/2006/relationships/hyperlink" Target="https://www.digikey.com/en/products/detail/panasonic-electronic-components/EEU-FR1E471/2433553" TargetMode="External" /><ns0:Relationship Id="rIdBOMLink23" Type="http://schemas.openxmlformats.org/officeDocument/2006/relationships/hyperlink" Target="https://www.digikey.com/en/products/detail/vishay-dale/CRCW0603100RFKEA/1174554" TargetMode="External" /><ns0:Relationship Id="rIdBOMLink24" Type="http://schemas.openxmlformats.org/officeDocument/2006/relationships/hyperlink" Target="https://www.digikey.com/en/products/detail/texas-instruments/SN74LVC14APW/1591867" TargetMode="External" /><ns0:Relationship Id="rIdBOMLink25" Type="http://schemas.openxmlformats.org/officeDocument/2006/relationships/hyperlink" Target="https://www.digikey.com/en/products/detail/hirose-electric-co-ltd/DF63M-3P-3-96DSA/9695039" TargetMode="External" /><ns0:Relationship Id="rIdBOMLink26" Type="http://schemas.openxmlformats.org/officeDocument/2006/relationships/hyperlink" Target="https://www.digikey.com/en/products/detail/vishay-dale/CRCW06032K20FKEA/1174704" TargetMode="External" /><ns0:Relationship Id="rIdBOMLink27" Type="http://schemas.openxmlformats.org/officeDocument/2006/relationships/hyperlink" Target="https://www.digikey.com/en/products/detail/vishay-dale/CRCW0603100KFKEA/1180038" TargetMode="External" /><ns0:Relationship Id="rIdBOMLink28" Type="http://schemas.openxmlformats.org/officeDocument/2006/relationships/hyperlink" Target="https://www.digikey.com/en/products/detail/diodes-incorporated/MMBT3904-7-F/814494" TargetMode="External" /><ns0:Relationship Id="rIdBOMLink29" Type="http://schemas.openxmlformats.org/officeDocument/2006/relationships/hyperlink" Target="https://www.digikey.com/en/products/detail/vishay-dale/CRCW0603220RFKEA/1174590" TargetMode="External" /><ns0:Relationship Id="rIdBOMLink30" Type="http://schemas.openxmlformats.org/officeDocument/2006/relationships/hyperlink" Target="https://www.digikey.com/en/products/detail/samtec-inc/SNT-100-BK-T-H/2345103" TargetMode="External" /><ns0:Relationship Id="rIdBOMLink31" Type="http://schemas.openxmlformats.org/officeDocument/2006/relationships/hyperlink" Target="https://www.digikey.com/en/products/detail/littelfuse-inc/0297010-L/3305626" TargetMode="External" /><ns0:Relationship Id="rIdBOMLink32" Type="http://schemas.openxmlformats.org/officeDocument/2006/relationships/hyperlink" Target="https://www.digikey.com/en/products/detail/w%C3%BCrth-elektronik/970350365/9488738" TargetMode="External" /><ns0:Relationship Id="rIdBOMLink33" Type="http://schemas.openxmlformats.org/officeDocument/2006/relationships/hyperlink" Target="https://www.digikey.com/en/products/detail/raf-electronic-hardware/M1269-2545-AL/7680971" TargetMode="External" /><ns0:Relationship Id="rIdBOMLink34" Type="http://schemas.openxmlformats.org/officeDocument/2006/relationships/hyperlink" Target="https://www.digikey.com/en/products/detail/hirose-electric-co-ltd/DF63-2S-3-96C/4972157" TargetMode="External" /><ns0:Relationship Id="rIdBOMLink35" Type="http://schemas.openxmlformats.org/officeDocument/2006/relationships/hyperlink" Target="https://www.digikey.com/en/products/detail/hirose-electric-co-ltd/DF63A-1618SC/14564650" TargetMode="External" /><ns0:Relationship Id="rIdBOMLink36" Type="http://schemas.openxmlformats.org/officeDocument/2006/relationships/hyperlink" Target="https://www.digikey.com/en/products/detail/hirose-electric-co-ltd/DF63-3S-3-96C/4972158" TargetMode="External" /><ns0:Relationship Id="rIdBOMLink37" Type="http://schemas.openxmlformats.org/officeDocument/2006/relationships/hyperlink" Target="https://www.digikey.com/en/products/detail/hirose-electric-co-ltd/DF63A-2022SC/14564655" TargetMode="External" /><ns0:Relationship Id="rIdBOMLink38" Type="http://schemas.openxmlformats.org/officeDocument/2006/relationships/hyperlink" Target="https://www.digikey.com/en/products/detail/harwin-inc/M20-1060400/3728193" TargetMode="External" /><ns0:Relationship Id="rIdBOMLink39" Type="http://schemas.openxmlformats.org/officeDocument/2006/relationships/hyperlink" Target="https://www.digikey.com/en/products/detail/w%C3%BCrth-elektronik/97790803111/10056388" TargetMode="External" /><ns0:Relationship Id="rIdBOMLink40" Type="http://schemas.openxmlformats.org/officeDocument/2006/relationships/hyperlink" Target="https://www.digikey.com/en/products/detail/essentra-components/MFW030A/4105389" TargetMode="External" /><ns0:Relationship Id="rIdBOMLink41" Type="http://schemas.openxmlformats.org/officeDocument/2006/relationships/hyperlink" Target="https://www.digikey.com/en/products/detail/essentra-components/50M025045P005/11639454" TargetMode="External" /><ns0:Relationship Id="rIdBOMLink42" Type="http://schemas.openxmlformats.org/officeDocument/2006/relationships/hyperlink" Target="https://www.digikey.com/en/products/detail/harwin-inc/M20-1180046/3728125" TargetMode="External" /><ns0:Relationship Id="rIdBOMLink43" Type="http://schemas.openxmlformats.org/officeDocument/2006/relationships/hyperlink" Target="https://www.digikey.com/en/products/detail/alpha-wire/3057-RD005/204432 ; https://www.digikey.com/en/products/detail/alpha-wire/3057-BK005/204430" TargetMode="External" /><ns0:Relationship Id="rIdBOMLink44" Type="http://schemas.openxmlformats.org/officeDocument/2006/relationships/hyperlink" Target="https://www.digikey.com/en/products/detail/alpha-wire/3051-RD005/204372 ; https://www.digikey.com/en/products/detail/alpha-wire/3051-BK005/204370" TargetMode="External" /><ns0:Relationship Id="rIdBOMLink45" Type="http://schemas.openxmlformats.org/officeDocument/2006/relationships/hyperlink" Target="https://www.digikey.com/en/products/detail/kingbright/WP7113ID/1747663" TargetMode="External" /><ns0:Relationship Id="rIdBOMLink46" Type="http://schemas.openxmlformats.org/officeDocument/2006/relationships/hyperlink" Target="https://www.digikey.com/en/products/detail/kingbright/WP7113QWC-D/26231031" TargetMode="External" /><ns0:Relationship Id="rIdBOMLink47" Type="http://schemas.openxmlformats.org/officeDocument/2006/relationships/hyperlink" Target="https://www.digikey.com/en/products/detail/kingbright/WP7113YD/1747683" TargetMode="External" /><ns0:Relationship Id="rIdBOMLink48" Type="http://schemas.openxmlformats.org/officeDocument/2006/relationships/hyperlink" Target="https://www.digikey.com/en/products/detail/kingbright/WP7113QBC-D/2261460" TargetMode="External" /><ns0:Relationship Id="rIdBOMLink49" Type="http://schemas.openxmlformats.org/officeDocument/2006/relationships/hyperlink" Target="https://github.com/fmarples/18649_team4/blob/6164a13918b08bc5ddbff36e200d9e7a8c292dcc/lab4/Parts-review.md" TargetMode="External" /><ns0:Relationship Id="rIdBOMLink50" Type="http://schemas.openxmlformats.org/officeDocument/2006/relationships/hyperlink" Target="https://www.amazon.com/dp/B077Y9HNTF" TargetMode="External" /><ns0:Relationship Id="rIdBOMLink51" Type="http://schemas.openxmlformats.org/officeDocument/2006/relationships/hyperlink" Target="https://github.com/fmarples/18649_team4/blob/6164a13918b08bc5ddbff36e200d9e7a8c292dcc/lab4/Parts-review.md" TargetMode="External" /><ns0:Relationship Id="rIdBOMLink52" Type="http://schemas.openxmlformats.org/officeDocument/2006/relationships/hyperlink" Target="https://github.com/fmarples/18649_team4/blob/6164a13918b08bc5ddbff36e200d9e7a8c292dcc/lab4/Parts-review.md" TargetMode="External" /></ns0:Relationships>
</file>

<file path=xl/worksheets/_rels/sheet2.xml.rels><?xml version='1.0' encoding='utf-8'?>
<ns0:Relationships xmlns:ns0="http://schemas.openxmlformats.org/package/2006/relationships"><ns0:Relationship Type="http://schemas.openxmlformats.org/officeDocument/2006/relationships/table" Target="/xl/tables/table2.xml" Id="R7225dc71281b470c" /><ns0:Relationship Id="rIdBOMLink1" Type="http://schemas.openxmlformats.org/officeDocument/2006/relationships/hyperlink" Target="https://github.com/fmarples/18649_team4/blob/6164a13918b08bc5ddbff36e200d9e7a8c292dcc/lab4/Preliminary-BOM.csv" TargetMode="External" /><ns0:Relationship Id="rIdBOMLink2" Type="http://schemas.openxmlformats.org/officeDocument/2006/relationships/hyperlink" Target="https://18449-f26.slack.com/archives/C0BRYGTD4HH/p1792789284321879" TargetMode="External" /><ns0:Relationship Id="rIdBOMLink3" Type="http://schemas.openxmlformats.org/officeDocument/2006/relationships/hyperlink" Target="https://18449-f26.slack.com/archives/C0BRYGTD4HH/p1793052274317539" TargetMode="External" /><ns0:Relationship Id="rIdBOMLink4" Type="http://schemas.openxmlformats.org/officeDocument/2006/relationships/hyperlink" Target="https://www.digikey.com/short/9n43978z" TargetMode="External" /><ns0:Relationship Id="rIdBOMLink5" Type="http://schemas.openxmlformats.org/officeDocument/2006/relationships/hyperlink" Target="https://www.digikey.com/short/2q3q8t40" TargetMode="External" /><ns0:Relationship Id="rIdBOMLink6" Type="http://schemas.openxmlformats.org/officeDocument/2006/relationships/hyperlink" Target="https://www.digikey.com/short/vq8f334d" TargetMode="External" /><ns0:Relationship Id="rIdBOMLink7" Type="http://schemas.openxmlformats.org/officeDocument/2006/relationships/hyperlink" Target="https://www.digikey.com/short/br7d02pp" TargetMode="External" /><ns0:Relationship Id="rIdBOMLink8" Type="http://schemas.openxmlformats.org/officeDocument/2006/relationships/hyperlink" Target="https://www.digikey.com/short/dzn7v8v4" TargetMode="External" /><ns0:Relationship Id="rIdBOMLink9" Type="http://schemas.openxmlformats.org/officeDocument/2006/relationships/hyperlink" Target="https://18449-f26.slack.com/archives/C0BRYGTD4HH/p1792789284321879" TargetMode="External" /><ns0:Relationship Id="rIdBOMLink10" Type="http://schemas.openxmlformats.org/officeDocument/2006/relationships/hyperlink" Target="https://18449-f26.slack.com/archives/C0BRYGTD4HH/p1792789284321879" TargetMode="External" /><ns0:Relationship Id="rIdBOMLink11" Type="http://schemas.openxmlformats.org/officeDocument/2006/relationships/hyperlink" Target="https://18449-f26.slack.com/archives/C0BRYGTD4HH/p1792789284321879" TargetMode="External" /><ns0:Relationship Id="rIdBOMLink12" Type="http://schemas.openxmlformats.org/officeDocument/2006/relationships/hyperlink" Target="https://www.digikey.com/short/3v4wdv91" TargetMode="External" /><ns0:Relationship Id="rIdBOMLink13" Type="http://schemas.openxmlformats.org/officeDocument/2006/relationships/hyperlink" Target="https://www.digikey.com/short/p9rj0720" TargetMode="External" /><ns0:Relationship Id="rIdBOMLink14" Type="http://schemas.openxmlformats.org/officeDocument/2006/relationships/hyperlink" Target="https://18449-f26.slack.com/archives/C0BRYGTD4HH/p1792789284321879" TargetMode="External" /><ns0:Relationship Id="rIdBOMLink15" Type="http://schemas.openxmlformats.org/officeDocument/2006/relationships/hyperlink" Target="https://www.digikey.com/short/jv429bvf" TargetMode="External" /><ns0:Relationship Id="rIdBOMLink16" Type="http://schemas.openxmlformats.org/officeDocument/2006/relationships/hyperlink" Target="https://www.digikey.com/short/9t2hw2r4" TargetMode="External" /><ns0:Relationship Id="rIdBOMLink17" Type="http://schemas.openxmlformats.org/officeDocument/2006/relationships/hyperlink" Target="https://www.digikey.com/short/n7qdn882" TargetMode="External" /><ns0:Relationship Id="rIdBOMLink18" Type="http://schemas.openxmlformats.org/officeDocument/2006/relationships/hyperlink" Target="https://www.digikey.com/short/c4nn83n9" TargetMode="External" /><ns0:Relationship Id="rIdBOMLink19" Type="http://schemas.openxmlformats.org/officeDocument/2006/relationships/hyperlink" Target="https://www.digikey.com/short/b8vwdnm0" TargetMode="External" /><ns0:Relationship Id="rIdBOMLink20" Type="http://schemas.openxmlformats.org/officeDocument/2006/relationships/hyperlink" Target="https://www.digikey.com/short/v01w3qmn" TargetMode="External" /><ns0:Relationship Id="rIdBOMLink21" Type="http://schemas.openxmlformats.org/officeDocument/2006/relationships/hyperlink" Target="https://www.digikey.com/short/tmfw2f4h" TargetMode="External" /><ns0:Relationship Id="rIdBOMLink22" Type="http://schemas.openxmlformats.org/officeDocument/2006/relationships/hyperlink" Target="https://www.digikey.com/short/34mvfn7t" TargetMode="External" /><ns0:Relationship Id="rIdBOMLink23" Type="http://schemas.openxmlformats.org/officeDocument/2006/relationships/hyperlink" Target="https://www.digikey.com/short/p2012wpj" TargetMode="External" /><ns0:Relationship Id="rIdBOMLink24" Type="http://schemas.openxmlformats.org/officeDocument/2006/relationships/hyperlink" Target="https://www.digikey.com/short/fh8p2bz3" TargetMode="External" /><ns0:Relationship Id="rIdBOMLink25" Type="http://schemas.openxmlformats.org/officeDocument/2006/relationships/hyperlink" Target="https://www.digikey.com/short/1807nprh" TargetMode="External" /><ns0:Relationship Id="rIdBOMLink26" Type="http://schemas.openxmlformats.org/officeDocument/2006/relationships/hyperlink" Target="https://www.digikey.com/short/fb4tj3c7" TargetMode="External" /><ns0:Relationship Id="rIdBOMLink27" Type="http://schemas.openxmlformats.org/officeDocument/2006/relationships/hyperlink" Target="https://18449-f26.slack.com/archives/C0BRYGTD4HH/p1792789284321879" TargetMode="External" /><ns0:Relationship Id="rIdBOMLink28" Type="http://schemas.openxmlformats.org/officeDocument/2006/relationships/hyperlink" Target="https://www.digikey.com/short/j2q28bwj" TargetMode="External" /><ns0:Relationship Id="rIdBOMLink29" Type="http://schemas.openxmlformats.org/officeDocument/2006/relationships/hyperlink" Target="https://www.digikey.com/short/r70ftq33" TargetMode="External" /><ns0:Relationship Id="rIdBOMLink30" Type="http://schemas.openxmlformats.org/officeDocument/2006/relationships/hyperlink" Target="https://www.digikey.com/short/p3j5fdrv" TargetMode="External" /><ns0:Relationship Id="rIdBOMLink31" Type="http://schemas.openxmlformats.org/officeDocument/2006/relationships/hyperlink" Target="https://18449-f26.slack.com/archives/C0BRYGTD4HH/p1792789284321879" TargetMode="External" /><ns0:Relationship Id="rIdBOMLink32" Type="http://schemas.openxmlformats.org/officeDocument/2006/relationships/hyperlink" Target="https://18449-f26.slack.com/archives/C0BRYGTD4HH/p1792789284321879" TargetMode="External" /><ns0:Relationship Id="rIdBOMLink33" Type="http://schemas.openxmlformats.org/officeDocument/2006/relationships/hyperlink" Target="https://18449-f26.slack.com/archives/C0BRYGTD4HH/p1792789284321879" TargetMode="External" /><ns0:Relationship Id="rIdBOMLink34" Type="http://schemas.openxmlformats.org/officeDocument/2006/relationships/hyperlink" Target="https://18449-f26.slack.com/archives/C0BRYGTD4HH/p1792789284321879" TargetMode="External" /><ns0:Relationship Id="rIdBOMLink35" Type="http://schemas.openxmlformats.org/officeDocument/2006/relationships/hyperlink" Target="https://18449-f26.slack.com/archives/C0BRYGTD4HH/p1792789284321879" TargetMode="External" /><ns0:Relationship Id="rIdBOMLink36" Type="http://schemas.openxmlformats.org/officeDocument/2006/relationships/hyperlink" Target="https://www.digikey.com/short/38hmjrmb" TargetMode="External" /><ns0:Relationship Id="rIdBOMLink37" Type="http://schemas.openxmlformats.org/officeDocument/2006/relationships/hyperlink" Target="https://www.digikey.com/short/3fz7wn2w" TargetMode="External" /><ns0:Relationship Id="rIdBOMLink38" Type="http://schemas.openxmlformats.org/officeDocument/2006/relationships/hyperlink" Target="https://www.digikey.com/short/bw1zhdwb" TargetMode="External" /><ns0:Relationship Id="rIdBOMLink39" Type="http://schemas.openxmlformats.org/officeDocument/2006/relationships/hyperlink" Target="https://www.digikey.com/short/mz7mrwr2" TargetMode="External" /></ns0:Relationships>
</file>

<file path=xl/worksheets/sheet1.xml><?xml version="1.0" encoding="utf-8"?>
<worksheet xmlns="http://schemas.openxmlformats.org/spreadsheetml/2006/main" xmlns:r="http://schemas.openxmlformats.org/officeDocument/2006/relationships">
  <sheetPr>
    <tabColor rgb="FFC58A18"/>
  </sheetPr>
  <sheetViews>
    <sheetView showGridLines="0" workbookViewId="0">
      <pane xSplit="2" ySplit="8" topLeftCell="C9" activePane="bottomRight" state="frozen"/>
    </sheetView>
  </sheetViews>
  <sheetFormatPr defaultRowHeight="15"/>
  <cols>
    <col min="1" max="1" width="35" hidden="0" customWidth="1"/>
    <col min="2" max="2" width="46" hidden="0" customWidth="1"/>
    <col min="3" max="3" width="10" hidden="0" customWidth="1"/>
    <col min="4" max="4" width="11" hidden="0" customWidth="1"/>
    <col min="5" max="5" width="9" hidden="0" customWidth="1"/>
    <col min="6" max="6" width="12" hidden="0" customWidth="1"/>
    <col min="7" max="7" width="9" hidden="0" customWidth="1"/>
    <col min="8" max="8" width="19" hidden="0" customWidth="1"/>
    <col min="9" max="9" width="66" hidden="0" customWidth="1"/>
    <col min="10" max="10" width="43" hidden="0" customWidth="1"/>
    <col min="11" max="11" width="55" hidden="0" customWidth="1"/>
    <col min="12" max="12" width="25" hidden="0" customWidth="1"/>
  </cols>
  <sheetData>
    <row r="1">
      <c r="A1" s="1"/>
      <c r="B1" s="1"/>
      <c r="C1" s="1"/>
      <c r="D1" s="1"/>
      <c r="E1" s="1"/>
      <c r="F1" s="1"/>
      <c r="G1" s="1"/>
      <c r="H1" s="1"/>
      <c r="I1" s="1"/>
      <c r="J1" s="1"/>
      <c r="K1" s="1"/>
      <c r="L1" s="1"/>
    </row>
    <row r="2" ht="26" customHeight="1">
      <c r="A2" s="8" t="str">
        <v>Team 4 Lab 4 BOM — specialty parts</v>
      </c>
      <c r="B2" s="8"/>
      <c r="C2" s="8"/>
      <c r="D2" s="8"/>
      <c r="E2" s="8"/>
      <c r="F2" s="8"/>
      <c r="G2" s="8"/>
      <c r="H2" s="8"/>
      <c r="I2" s="8"/>
      <c r="J2" s="8"/>
      <c r="K2" s="8"/>
      <c r="L2" s="8"/>
    </row>
    <row r="3" ht="19" customHeight="1">
      <c r="A3" s="9" t="str">
        <v>Specialty = absent from the course v3 list. Yellow rows identify specialty parts.</v>
      </c>
      <c r="B3" s="9"/>
      <c r="C3" s="9"/>
      <c r="D3" s="9"/>
      <c r="E3" s="9"/>
      <c r="F3" s="9"/>
      <c r="G3" s="9"/>
      <c r="H3" s="9"/>
      <c r="I3" s="9"/>
      <c r="J3" s="9"/>
      <c r="K3" s="9"/>
      <c r="L3" s="9"/>
    </row>
    <row r="4" ht="19" customHeight="1">
      <c r="A4" s="9" t="str">
        <v>Totals include proposed spares. Buy only the shortfall after checking course/team stock. OPEN items require TA review.</v>
      </c>
      <c r="B4" s="9"/>
      <c r="C4" s="9"/>
      <c r="D4" s="9"/>
      <c r="E4" s="9"/>
      <c r="F4" s="9"/>
      <c r="G4" s="9"/>
      <c r="H4" s="9"/>
      <c r="I4" s="9"/>
      <c r="J4" s="9"/>
      <c r="K4" s="9"/>
      <c r="L4" s="9"/>
    </row>
    <row r="5" ht="19" customHeight="1">
      <c r="A5" s="11" t="str">
        <v>Source purchasing BOM</v>
      </c>
      <c r="B5" s="11" t="str">
        <v>Course common-list confirmation</v>
      </c>
      <c r="C5" s="1"/>
      <c r="D5" s="1"/>
      <c r="E5" s="1"/>
      <c r="F5" s="1"/>
      <c r="G5" s="1"/>
      <c r="H5" s="11" t="str">
        <v>TA announcement</v>
      </c>
      <c r="I5" s="1"/>
      <c r="J5" s="1"/>
      <c r="K5" s="1"/>
      <c r="L5" s="1"/>
    </row>
    <row r="6" ht="19" customHeight="1">
      <c r="A6" s="10" t="str">
        <v>Prepared October 26, 2026. 49 consolidated lines. Zero-quantity historical alternatives omitted.</v>
      </c>
      <c r="B6" s="10"/>
      <c r="C6" s="10"/>
      <c r="D6" s="10"/>
      <c r="E6" s="10"/>
      <c r="F6" s="10"/>
      <c r="G6" s="10"/>
      <c r="H6" s="10"/>
      <c r="I6" s="10"/>
      <c r="J6" s="10"/>
      <c r="K6" s="10"/>
      <c r="L6" s="10"/>
    </row>
    <row r="7">
      <c r="A7" s="1"/>
      <c r="B7" s="1"/>
      <c r="C7" s="1"/>
      <c r="D7" s="1"/>
      <c r="E7" s="1"/>
      <c r="F7" s="1"/>
      <c r="G7" s="1"/>
      <c r="H7" s="1"/>
      <c r="I7" s="1"/>
      <c r="J7" s="1"/>
      <c r="K7" s="1"/>
      <c r="L7" s="1"/>
    </row>
    <row r="8" ht="34" customHeight="1">
      <c r="A8" s="7" t="str">
        <v>Part / MPN / specification</v>
      </c>
      <c r="B8" s="7" t="str">
        <v>Description</v>
      </c>
      <c r="C8" s="7" t="str">
        <v>In design</v>
      </c>
      <c r="D8" s="7" t="str">
        <v>Off-board</v>
      </c>
      <c r="E8" s="7" t="str">
        <v>Spares</v>
      </c>
      <c r="F8" s="7" t="str">
        <v>Total requested</v>
      </c>
      <c r="G8" s="7" t="str">
        <v>Unit</v>
      </c>
      <c r="H8" s="7" t="str">
        <v>Supplier / source</v>
      </c>
      <c r="I8" s="7" t="str">
        <v>TA review / purchasing note</v>
      </c>
      <c r="J8" s="7" t="str">
        <v>References</v>
      </c>
      <c r="K8" s="7" t="str">
        <v>Footprint / package</v>
      </c>
      <c r="L8" s="7" t="str">
        <v>Manufacturer</v>
      </c>
    </row>
    <row r="9" ht="46" customHeight="1">
      <c r="A9" s="12" t="str">
        <v>GRM1885C1H180JA01D</v>
      </c>
      <c r="B9" s="12" t="str">
        <v>18p C0G 50V</v>
      </c>
      <c r="C9" s="14" t="n">
        <v>12</v>
      </c>
      <c r="D9" s="14" t="n">
        <v>0</v>
      </c>
      <c r="E9" s="14" t="n">
        <v>1</v>
      </c>
      <c r="F9" s="14" t="n">
        <f>SUM(C9:E9)</f>
        <v>13</v>
      </c>
      <c r="G9" s="12" t="str">
        <v>each</v>
      </c>
      <c r="H9" s="15" t="str">
        <v>DigiKey</v>
      </c>
      <c r="I9" s="12" t="str">
        <v>Not on course v3 common list. Exact supplier source linked; recheck stock when purchasing.</v>
      </c>
      <c r="J9" s="12" t="str">
        <v>C100 C101 C140 C141 C200 C201 C240 C241 C300 C301 C340 C341</v>
      </c>
      <c r="K9" s="12" t="str">
        <v>Capacitor_SMD:C_0603_1608Metric</v>
      </c>
      <c r="L9" s="12" t="str">
        <v>Murata</v>
      </c>
    </row>
    <row r="10" ht="46" customHeight="1">
      <c r="A10" s="12" t="str">
        <v>WSL2512R0100FEA</v>
      </c>
      <c r="B10" s="12" t="str">
        <v>10mR / 1W / 1%</v>
      </c>
      <c r="C10" s="14" t="n">
        <v>1</v>
      </c>
      <c r="D10" s="14" t="n">
        <v>0</v>
      </c>
      <c r="E10" s="14" t="n">
        <v>4</v>
      </c>
      <c r="F10" s="14" t="n">
        <f>SUM(C10:E10)</f>
        <v>5</v>
      </c>
      <c r="G10" s="12" t="str">
        <v>each</v>
      </c>
      <c r="H10" s="15" t="str">
        <v>DigiKey</v>
      </c>
      <c r="I10" s="12" t="str">
        <v>Front servo current-sensing addition; not on the course v3 list. Exact source linked; stock not reserved.</v>
      </c>
      <c r="J10" s="12" t="str">
        <v>R1</v>
      </c>
      <c r="K10" s="12" t="str">
        <v>Lab4_Power:Vishay_WSL2512_7m_to_500m</v>
      </c>
      <c r="L10" s="12" t="str">
        <v>Vishay Dale</v>
      </c>
    </row>
    <row r="11" ht="46" customHeight="1">
      <c r="A11" s="12" t="str">
        <v>INA180A2IDBVR</v>
      </c>
      <c r="B11" s="12" t="str">
        <v>INA180A2IDBVR</v>
      </c>
      <c r="C11" s="14" t="n">
        <v>1</v>
      </c>
      <c r="D11" s="14" t="n">
        <v>0</v>
      </c>
      <c r="E11" s="14" t="n">
        <v>1</v>
      </c>
      <c r="F11" s="14" t="n">
        <f>SUM(C11:E11)</f>
        <v>2</v>
      </c>
      <c r="G11" s="12" t="str">
        <v>each</v>
      </c>
      <c r="H11" s="15" t="str">
        <v>DigiKey</v>
      </c>
      <c r="I11" s="12" t="str">
        <v>Front servo current-sensing addition; not on the course v3 list. Exact source linked; stock not reserved.</v>
      </c>
      <c r="J11" s="12" t="str">
        <v>U1</v>
      </c>
      <c r="K11" s="12" t="str">
        <v>Package_TO_SOT_SMD:SOT-23-5</v>
      </c>
      <c r="L11" s="12" t="str">
        <v>Texas Instruments</v>
      </c>
    </row>
    <row r="12" ht="57" customHeight="1">
      <c r="A12" s="12" t="str">
        <v>DF63M-2P-3.96DSA</v>
      </c>
      <c r="B12" s="12" t="str">
        <v>Battery input: 1=+ 2=GND; LEFT motor; RIGHT motor</v>
      </c>
      <c r="C12" s="14" t="n">
        <v>3</v>
      </c>
      <c r="D12" s="14" t="n">
        <v>0</v>
      </c>
      <c r="E12" s="14" t="n">
        <v>3</v>
      </c>
      <c r="F12" s="14" t="n">
        <f>SUM(C12:E12)</f>
        <v>6</v>
      </c>
      <c r="G12" s="12" t="str">
        <v>each</v>
      </c>
      <c r="H12" s="15" t="str">
        <v>DigiKey</v>
      </c>
      <c r="I12" s="12" t="str">
        <v>Hirose adapter component; not on common list. Existing vehicle plug requires an adapter. Match contact wire gauge and verify completed harness before power.</v>
      </c>
      <c r="J12" s="12" t="str">
        <v>J40 J80 J81</v>
      </c>
      <c r="K12" s="12" t="str">
        <v>Connector_Hirose:Hirose_DF63M-2P-3.96DSA_1x02_P3.96mm_Vertical</v>
      </c>
      <c r="L12" s="12" t="str">
        <v>Hirose</v>
      </c>
    </row>
    <row r="13" ht="46" customHeight="1">
      <c r="A13" s="12" t="str">
        <v>3568</v>
      </c>
      <c r="B13" s="12" t="str">
        <v>Fuse: rating TBD</v>
      </c>
      <c r="C13" s="14" t="n">
        <v>1</v>
      </c>
      <c r="D13" s="14" t="n">
        <v>0</v>
      </c>
      <c r="E13" s="14" t="n">
        <v>1</v>
      </c>
      <c r="F13" s="14" t="n">
        <f>SUM(C13:E13)</f>
        <v>2</v>
      </c>
      <c r="G13" s="12" t="str">
        <v>each</v>
      </c>
      <c r="H13" s="15" t="str">
        <v>DigiKey</v>
      </c>
      <c r="I13" s="12" t="str">
        <v>Not on course v3 common list. Exact supplier source linked; recheck stock when purchasing.</v>
      </c>
      <c r="J13" s="12" t="str">
        <v>F1</v>
      </c>
      <c r="K13" s="12" t="str">
        <v>Fuse:Fuseholder_Blade_Mini_Keystone_3568</v>
      </c>
      <c r="L13" s="12" t="str">
        <v>Keystone Electronics</v>
      </c>
    </row>
    <row r="14" ht="46" customHeight="1">
      <c r="A14" s="12" t="str">
        <v>DMPH3010LK3-13</v>
      </c>
      <c r="B14" s="12" t="str">
        <v>DMPH3010LK3-13</v>
      </c>
      <c r="C14" s="14" t="n">
        <v>1</v>
      </c>
      <c r="D14" s="14" t="n">
        <v>0</v>
      </c>
      <c r="E14" s="14" t="n">
        <v>1</v>
      </c>
      <c r="F14" s="14" t="n">
        <f>SUM(C14:E14)</f>
        <v>2</v>
      </c>
      <c r="G14" s="12" t="str">
        <v>each</v>
      </c>
      <c r="H14" s="15" t="str">
        <v>DigiKey</v>
      </c>
      <c r="I14" s="12" t="str">
        <v>Not on course v3 common list. Exact supplier source linked; recheck stock when purchasing.</v>
      </c>
      <c r="J14" s="12" t="str">
        <v>Q1</v>
      </c>
      <c r="K14" s="12" t="str">
        <v>Package_TO_SOT_SMD:TO-252-2</v>
      </c>
      <c r="L14" s="12" t="str">
        <v>Diodes Incorporated</v>
      </c>
    </row>
    <row r="15" ht="46" customHeight="1">
      <c r="A15" s="12" t="str">
        <v>BZT52C12</v>
      </c>
      <c r="B15" s="12" t="str">
        <v>12V gate clamp</v>
      </c>
      <c r="C15" s="14" t="n">
        <v>1</v>
      </c>
      <c r="D15" s="14" t="n">
        <v>0</v>
      </c>
      <c r="E15" s="14" t="n">
        <v>1</v>
      </c>
      <c r="F15" s="14" t="n">
        <f>SUM(C15:E15)</f>
        <v>2</v>
      </c>
      <c r="G15" s="12" t="str">
        <v>each</v>
      </c>
      <c r="H15" s="15" t="str">
        <v>DigiKey</v>
      </c>
      <c r="I15" s="12" t="str">
        <v>Not on course v3 common list. Exact supplier source linked; recheck stock when purchasing.</v>
      </c>
      <c r="J15" s="12" t="str">
        <v>D40</v>
      </c>
      <c r="K15" s="12" t="str">
        <v>Diode_SMD:D_SOD-123F</v>
      </c>
      <c r="L15" s="12" t="str">
        <v>Diotec</v>
      </c>
    </row>
    <row r="16" ht="46" customHeight="1">
      <c r="A16" s="12" t="str">
        <v>UPW1E102MHD</v>
      </c>
      <c r="B16" s="12" t="str">
        <v>1000u / 25V</v>
      </c>
      <c r="C16" s="14" t="n">
        <v>1</v>
      </c>
      <c r="D16" s="14" t="n">
        <v>0</v>
      </c>
      <c r="E16" s="14" t="n">
        <v>1</v>
      </c>
      <c r="F16" s="14" t="n">
        <f>SUM(C16:E16)</f>
        <v>2</v>
      </c>
      <c r="G16" s="12" t="str">
        <v>each</v>
      </c>
      <c r="H16" s="15" t="str">
        <v>DigiKey</v>
      </c>
      <c r="I16" s="12" t="str">
        <v>Not on course v3 common list. Exact supplier source linked; recheck stock when purchasing.</v>
      </c>
      <c r="J16" s="12" t="str">
        <v>C400</v>
      </c>
      <c r="K16" s="12" t="str">
        <v>Capacitor_THT:CP_Radial_D12.5mm_P5.00mm</v>
      </c>
      <c r="L16" s="12" t="str">
        <v>Nichicon</v>
      </c>
    </row>
    <row r="17" ht="46" customHeight="1">
      <c r="A17" s="12" t="str">
        <v>GRM32ER61E226KE15L</v>
      </c>
      <c r="B17" s="12" t="str">
        <v>22u / 25V</v>
      </c>
      <c r="C17" s="14" t="n">
        <v>3</v>
      </c>
      <c r="D17" s="14" t="n">
        <v>0</v>
      </c>
      <c r="E17" s="14" t="n">
        <v>1</v>
      </c>
      <c r="F17" s="14" t="n">
        <f>SUM(C17:E17)</f>
        <v>4</v>
      </c>
      <c r="G17" s="12" t="str">
        <v>each</v>
      </c>
      <c r="H17" s="15" t="str">
        <v>DigiKey</v>
      </c>
      <c r="I17" s="12" t="str">
        <v>Not on course v3 common list. Exact supplier source linked; recheck stock when purchasing.</v>
      </c>
      <c r="J17" s="12" t="str">
        <v>C410 C420 C430</v>
      </c>
      <c r="K17" s="12" t="str">
        <v>Capacitor_SMD:C_1210_3225Metric</v>
      </c>
      <c r="L17" s="12" t="str">
        <v>Murata</v>
      </c>
    </row>
    <row r="18" ht="46" customHeight="1">
      <c r="A18" s="12" t="str">
        <v>GRM188R71H104KA93D</v>
      </c>
      <c r="B18" s="12" t="str">
        <v>100n / 50V; 100n 50V</v>
      </c>
      <c r="C18" s="14" t="n">
        <v>4</v>
      </c>
      <c r="D18" s="14" t="n">
        <v>0</v>
      </c>
      <c r="E18" s="14" t="n">
        <v>2</v>
      </c>
      <c r="F18" s="14" t="n">
        <f>SUM(C18:E18)</f>
        <v>6</v>
      </c>
      <c r="G18" s="12" t="str">
        <v>each</v>
      </c>
      <c r="H18" s="15" t="str">
        <v>DigiKey</v>
      </c>
      <c r="I18" s="12" t="str">
        <v>Not on course v3 common list. Exact supplier source linked; recheck stock when purchasing.</v>
      </c>
      <c r="J18" s="12" t="str">
        <v>C411 C421 C431 C800</v>
      </c>
      <c r="K18" s="12" t="str">
        <v>Capacitor_SMD:C_0603_1608Metric</v>
      </c>
      <c r="L18" s="12" t="str">
        <v>Murata</v>
      </c>
    </row>
    <row r="19" ht="46" customHeight="1">
      <c r="A19" s="12" t="str">
        <v>RC0603FR-07100KL</v>
      </c>
      <c r="B19" s="12" t="str">
        <v>100k 1%</v>
      </c>
      <c r="C19" s="14" t="n">
        <v>1</v>
      </c>
      <c r="D19" s="14" t="n">
        <v>0</v>
      </c>
      <c r="E19" s="14" t="n">
        <v>1</v>
      </c>
      <c r="F19" s="14" t="n">
        <f>SUM(C19:E19)</f>
        <v>2</v>
      </c>
      <c r="G19" s="12" t="str">
        <v>each</v>
      </c>
      <c r="H19" s="15" t="str">
        <v>DigiKey</v>
      </c>
      <c r="I19" s="12" t="str">
        <v>Not on course v3 common list. Exact supplier source linked; recheck stock when purchasing.</v>
      </c>
      <c r="J19" s="12" t="str">
        <v>R410</v>
      </c>
      <c r="K19" s="12" t="str">
        <v>Resistor_SMD:R_0603_1608Metric</v>
      </c>
      <c r="L19" s="12" t="str">
        <v>YAGEO</v>
      </c>
    </row>
    <row r="20" ht="46" customHeight="1">
      <c r="A20" s="12" t="str">
        <v>RT0603BRD0775KL</v>
      </c>
      <c r="B20" s="12" t="str">
        <v>75k 0.1%</v>
      </c>
      <c r="C20" s="14" t="n">
        <v>1</v>
      </c>
      <c r="D20" s="14" t="n">
        <v>0</v>
      </c>
      <c r="E20" s="14" t="n">
        <v>1</v>
      </c>
      <c r="F20" s="14" t="n">
        <f>SUM(C20:E20)</f>
        <v>2</v>
      </c>
      <c r="G20" s="12" t="str">
        <v>each</v>
      </c>
      <c r="H20" s="15" t="str">
        <v>DigiKey</v>
      </c>
      <c r="I20" s="12" t="str">
        <v>Not on course v3 common list. Exact supplier source linked; recheck stock when purchasing.</v>
      </c>
      <c r="J20" s="12" t="str">
        <v>R420</v>
      </c>
      <c r="K20" s="12" t="str">
        <v>Resistor_SMD:R_0603_1608Metric</v>
      </c>
      <c r="L20" s="12" t="str">
        <v>YAGEO</v>
      </c>
    </row>
    <row r="21" ht="46" customHeight="1">
      <c r="A21" s="12" t="str">
        <v>RT0603BRD0710KL</v>
      </c>
      <c r="B21" s="12" t="str">
        <v>10k 0.1%</v>
      </c>
      <c r="C21" s="14" t="n">
        <v>1</v>
      </c>
      <c r="D21" s="14" t="n">
        <v>0</v>
      </c>
      <c r="E21" s="14" t="n">
        <v>1</v>
      </c>
      <c r="F21" s="14" t="n">
        <f>SUM(C21:E21)</f>
        <v>2</v>
      </c>
      <c r="G21" s="12" t="str">
        <v>each</v>
      </c>
      <c r="H21" s="15" t="str">
        <v>DigiKey</v>
      </c>
      <c r="I21" s="12" t="str">
        <v>Not on course v3 common list. Exact supplier source linked; recheck stock when purchasing.</v>
      </c>
      <c r="J21" s="12" t="str">
        <v>R421</v>
      </c>
      <c r="K21" s="12" t="str">
        <v>Resistor_SMD:R_0603_1608Metric</v>
      </c>
      <c r="L21" s="12" t="str">
        <v>YAGEO</v>
      </c>
    </row>
    <row r="22" ht="46" customHeight="1">
      <c r="A22" s="12" t="str">
        <v>RC0603FR-0733KL</v>
      </c>
      <c r="B22" s="12" t="str">
        <v>33k</v>
      </c>
      <c r="C22" s="14" t="n">
        <v>1</v>
      </c>
      <c r="D22" s="14" t="n">
        <v>0</v>
      </c>
      <c r="E22" s="14" t="n">
        <v>1</v>
      </c>
      <c r="F22" s="14" t="n">
        <f>SUM(C22:E22)</f>
        <v>2</v>
      </c>
      <c r="G22" s="12" t="str">
        <v>each</v>
      </c>
      <c r="H22" s="15" t="str">
        <v>DigiKey</v>
      </c>
      <c r="I22" s="12" t="str">
        <v>Not on course v3 common list. Exact supplier source linked; recheck stock when purchasing.</v>
      </c>
      <c r="J22" s="12" t="str">
        <v>R422</v>
      </c>
      <c r="K22" s="12" t="str">
        <v>Resistor_SMD:R_0603_1608Metric</v>
      </c>
      <c r="L22" s="12" t="str">
        <v>YAGEO</v>
      </c>
    </row>
    <row r="23" ht="46" customHeight="1">
      <c r="A23" s="12" t="str">
        <v>RC0603FR-0745K3L</v>
      </c>
      <c r="B23" s="12" t="str">
        <v>45.3k 1%</v>
      </c>
      <c r="C23" s="14" t="n">
        <v>1</v>
      </c>
      <c r="D23" s="14" t="n">
        <v>0</v>
      </c>
      <c r="E23" s="14" t="n">
        <v>1</v>
      </c>
      <c r="F23" s="14" t="n">
        <f>SUM(C23:E23)</f>
        <v>2</v>
      </c>
      <c r="G23" s="12" t="str">
        <v>each</v>
      </c>
      <c r="H23" s="15" t="str">
        <v>DigiKey</v>
      </c>
      <c r="I23" s="12" t="str">
        <v>Not on course v3 common list. Exact supplier source linked; recheck stock when purchasing.</v>
      </c>
      <c r="J23" s="12" t="str">
        <v>R430</v>
      </c>
      <c r="K23" s="12" t="str">
        <v>Resistor_SMD:R_0603_1608Metric</v>
      </c>
      <c r="L23" s="12" t="str">
        <v>YAGEO</v>
      </c>
    </row>
    <row r="24" ht="46" customHeight="1">
      <c r="A24" s="12" t="str">
        <v>RC0603FR-0722KL</v>
      </c>
      <c r="B24" s="12" t="str">
        <v>22k</v>
      </c>
      <c r="C24" s="14" t="n">
        <v>1</v>
      </c>
      <c r="D24" s="14" t="n">
        <v>0</v>
      </c>
      <c r="E24" s="14" t="n">
        <v>1</v>
      </c>
      <c r="F24" s="14" t="n">
        <f>SUM(C24:E24)</f>
        <v>2</v>
      </c>
      <c r="G24" s="12" t="str">
        <v>each</v>
      </c>
      <c r="H24" s="15" t="str">
        <v>DigiKey</v>
      </c>
      <c r="I24" s="12" t="str">
        <v>Not on course v3 common list. Exact supplier source linked; recheck stock when purchasing.</v>
      </c>
      <c r="J24" s="12" t="str">
        <v>R432</v>
      </c>
      <c r="K24" s="12" t="str">
        <v>Resistor_SMD:R_0603_1608Metric</v>
      </c>
      <c r="L24" s="12" t="str">
        <v>YAGEO</v>
      </c>
    </row>
    <row r="25" ht="46" customHeight="1">
      <c r="A25" s="12" t="str">
        <v>CC0603JRX7R7BB105</v>
      </c>
      <c r="B25" s="12" t="str">
        <v>1u VDDA</v>
      </c>
      <c r="C25" s="14" t="n">
        <v>2</v>
      </c>
      <c r="D25" s="14" t="n">
        <v>0</v>
      </c>
      <c r="E25" s="14" t="n">
        <v>1</v>
      </c>
      <c r="F25" s="14" t="n">
        <f>SUM(C25:E25)</f>
        <v>3</v>
      </c>
      <c r="G25" s="12" t="str">
        <v>each</v>
      </c>
      <c r="H25" s="15" t="str">
        <v>DigiKey</v>
      </c>
      <c r="I25" s="12" t="str">
        <v>Not on course v3 common list. Exact supplier source linked; recheck stock when purchasing.</v>
      </c>
      <c r="J25" s="12" t="str">
        <v>C508 C608</v>
      </c>
      <c r="K25" s="12" t="str">
        <v>Capacitor_SMD:C_0603_1608Metric</v>
      </c>
      <c r="L25" s="12" t="str">
        <v>YAGEO</v>
      </c>
    </row>
    <row r="26" ht="57" customHeight="1">
      <c r="A26" s="12" t="str">
        <v>ESQ-120-44-L-D</v>
      </c>
      <c r="B26" s="12" t="str">
        <v>Raspberry Pi4 GPIO</v>
      </c>
      <c r="C26" s="14" t="n">
        <v>1</v>
      </c>
      <c r="D26" s="14" t="n">
        <v>0</v>
      </c>
      <c r="E26" s="14" t="n">
        <v>1</v>
      </c>
      <c r="F26" s="14" t="n">
        <f>SUM(C26:E26)</f>
        <v>2</v>
      </c>
      <c r="G26" s="12" t="str">
        <v>each</v>
      </c>
      <c r="H26" s="15" t="str">
        <v>DigiKey</v>
      </c>
      <c r="I26" s="12" t="str">
        <v>Exact Samtec Pi socket is outside the generic-header entry. Nominal Pi stack is 22 mm; final mounting-margin review remains open.</v>
      </c>
      <c r="J26" s="12" t="str">
        <v>J70</v>
      </c>
      <c r="K26" s="12" t="str">
        <v>Lab4_Mechanical:Samtec_ESQ-120-44_2x20_P2.54mm_H18.67</v>
      </c>
      <c r="L26" s="12" t="str">
        <v>Samtec</v>
      </c>
    </row>
    <row r="27" ht="46" customHeight="1">
      <c r="A27" s="12" t="str">
        <v>EEU-FR1E471</v>
      </c>
      <c r="B27" s="12" t="str">
        <v>470u 25V</v>
      </c>
      <c r="C27" s="14" t="n">
        <v>1</v>
      </c>
      <c r="D27" s="14" t="n">
        <v>0</v>
      </c>
      <c r="E27" s="14" t="n">
        <v>1</v>
      </c>
      <c r="F27" s="14" t="n">
        <f>SUM(C27:E27)</f>
        <v>2</v>
      </c>
      <c r="G27" s="12" t="str">
        <v>each</v>
      </c>
      <c r="H27" s="15" t="str">
        <v>DigiKey</v>
      </c>
      <c r="I27" s="12" t="str">
        <v>Not on course v3 common list. Exact supplier source linked; recheck stock when purchasing.</v>
      </c>
      <c r="J27" s="12" t="str">
        <v>C802</v>
      </c>
      <c r="K27" s="12" t="str">
        <v>Capacitor_THT:CP_Radial_D8.0mm_P3.50mm</v>
      </c>
      <c r="L27" s="12" t="str">
        <v>Panasonic</v>
      </c>
    </row>
    <row r="28" ht="46" customHeight="1">
      <c r="A28" s="12" t="str">
        <v>CRCW0603100RFKEA</v>
      </c>
      <c r="B28" s="12" t="str">
        <v>100R</v>
      </c>
      <c r="C28" s="14" t="n">
        <v>5</v>
      </c>
      <c r="D28" s="14" t="n">
        <v>0</v>
      </c>
      <c r="E28" s="14" t="n">
        <v>1</v>
      </c>
      <c r="F28" s="14" t="n">
        <f>SUM(C28:E28)</f>
        <v>6</v>
      </c>
      <c r="G28" s="12" t="str">
        <v>each</v>
      </c>
      <c r="H28" s="15" t="str">
        <v>DigiKey</v>
      </c>
      <c r="I28" s="12" t="str">
        <v>Not on course v3 common list. Exact supplier source linked; recheck stock when purchasing.</v>
      </c>
      <c r="J28" s="12" t="str">
        <v>R800 R801 R802 R803 R540</v>
      </c>
      <c r="K28" s="12" t="str">
        <v>Resistor_SMD:R_0603_1608Metric</v>
      </c>
      <c r="L28" s="12" t="str">
        <v>Vishay Dale</v>
      </c>
    </row>
    <row r="29" ht="57" customHeight="1">
      <c r="A29" s="12" t="str">
        <v>SN74LVC14APW</v>
      </c>
      <c r="B29" s="12" t="str">
        <v>SN74LVC14APWR</v>
      </c>
      <c r="C29" s="14" t="n">
        <v>1</v>
      </c>
      <c r="D29" s="14" t="n">
        <v>0</v>
      </c>
      <c r="E29" s="14" t="n">
        <v>1</v>
      </c>
      <c r="F29" s="14" t="n">
        <f>SUM(C29:E29)</f>
        <v>2</v>
      </c>
      <c r="G29" s="12" t="str">
        <v>each</v>
      </c>
      <c r="H29" s="15" t="str">
        <v>DigiKey</v>
      </c>
      <c r="I29" s="12" t="str">
        <v>Use SN74LVC14APW tube-carrier alternative for U81 (PWR in schematic). Request 2 individual ICs total: 1 installed + 1 spare. Recheck stock.</v>
      </c>
      <c r="J29" s="12" t="str">
        <v>U81</v>
      </c>
      <c r="K29" s="12" t="str">
        <v>Package_SO:TSSOP-14_4.4x5mm_P0.65mm</v>
      </c>
      <c r="L29" s="12" t="str">
        <v>Texas Instruments</v>
      </c>
    </row>
    <row r="30" ht="57" customHeight="1">
      <c r="A30" s="12" t="str">
        <v>DF63M-3P-3.96DSA</v>
      </c>
      <c r="B30" s="12" t="str">
        <v>Servo: GND / 6.6V / PWM</v>
      </c>
      <c r="C30" s="14" t="n">
        <v>1</v>
      </c>
      <c r="D30" s="14" t="n">
        <v>0</v>
      </c>
      <c r="E30" s="14" t="n">
        <v>1</v>
      </c>
      <c r="F30" s="14" t="n">
        <f>SUM(C30:E30)</f>
        <v>2</v>
      </c>
      <c r="G30" s="12" t="str">
        <v>each</v>
      </c>
      <c r="H30" s="15" t="str">
        <v>DigiKey</v>
      </c>
      <c r="I30" s="12" t="str">
        <v>Hirose adapter component; not on common list. Existing vehicle plug requires an adapter. Match contact wire gauge and verify completed harness before power.</v>
      </c>
      <c r="J30" s="12" t="str">
        <v>J90</v>
      </c>
      <c r="K30" s="12" t="str">
        <v>Connector_Hirose:Hirose_DF63M-3P-3.96DSA_1x03_P3.96mm_Vertical</v>
      </c>
      <c r="L30" s="12" t="str">
        <v>Hirose</v>
      </c>
    </row>
    <row r="31" ht="46" customHeight="1">
      <c r="A31" s="12" t="str">
        <v>CRCW06032K20FKEA</v>
      </c>
      <c r="B31" s="12" t="str">
        <v>2.2k</v>
      </c>
      <c r="C31" s="14" t="n">
        <v>4</v>
      </c>
      <c r="D31" s="14" t="n">
        <v>0</v>
      </c>
      <c r="E31" s="14" t="n">
        <v>1</v>
      </c>
      <c r="F31" s="14" t="n">
        <f>SUM(C31:E31)</f>
        <v>5</v>
      </c>
      <c r="G31" s="12" t="str">
        <v>each</v>
      </c>
      <c r="H31" s="15" t="str">
        <v>DigiKey</v>
      </c>
      <c r="I31" s="12" t="str">
        <v>Not on course v3 common list. Exact supplier source linked; recheck stock when purchasing.</v>
      </c>
      <c r="J31" s="12" t="str">
        <v>R550 R551 R650 R651</v>
      </c>
      <c r="K31" s="12" t="str">
        <v>Resistor_SMD:R_0603_1608Metric</v>
      </c>
      <c r="L31" s="12" t="str">
        <v>Vishay Dale</v>
      </c>
    </row>
    <row r="32" ht="46" customHeight="1">
      <c r="A32" s="12" t="str">
        <v>CRCW0603100KFKEA</v>
      </c>
      <c r="B32" s="12" t="str">
        <v>100k</v>
      </c>
      <c r="C32" s="14" t="n">
        <v>4</v>
      </c>
      <c r="D32" s="14" t="n">
        <v>0</v>
      </c>
      <c r="E32" s="14" t="n">
        <v>1</v>
      </c>
      <c r="F32" s="14" t="n">
        <f>SUM(C32:E32)</f>
        <v>5</v>
      </c>
      <c r="G32" s="12" t="str">
        <v>each</v>
      </c>
      <c r="H32" s="15" t="str">
        <v>DigiKey</v>
      </c>
      <c r="I32" s="12" t="str">
        <v>Not on course v3 common list. Exact supplier source linked; recheck stock when purchasing.</v>
      </c>
      <c r="J32" s="12" t="str">
        <v>R560 R561 R660 R661</v>
      </c>
      <c r="K32" s="12" t="str">
        <v>Resistor_SMD:R_0603_1608Metric</v>
      </c>
      <c r="L32" s="12" t="str">
        <v>Vishay Dale</v>
      </c>
    </row>
    <row r="33" ht="46" customHeight="1">
      <c r="A33" s="12" t="str">
        <v>MMBT3904-7-F</v>
      </c>
      <c r="B33" s="12" t="str">
        <v>MMBT3904</v>
      </c>
      <c r="C33" s="14" t="n">
        <v>4</v>
      </c>
      <c r="D33" s="14" t="n">
        <v>0</v>
      </c>
      <c r="E33" s="14" t="n">
        <v>1</v>
      </c>
      <c r="F33" s="14" t="n">
        <f>SUM(C33:E33)</f>
        <v>5</v>
      </c>
      <c r="G33" s="12" t="str">
        <v>each</v>
      </c>
      <c r="H33" s="15" t="str">
        <v>DigiKey</v>
      </c>
      <c r="I33" s="12" t="str">
        <v>Not on course v3 common list. Exact supplier source linked; recheck stock when purchasing.</v>
      </c>
      <c r="J33" s="12" t="str">
        <v>Q550 Q551 Q650 Q651</v>
      </c>
      <c r="K33" s="12" t="str">
        <v>Package_TO_SOT_SMD:SOT-23</v>
      </c>
      <c r="L33" s="12" t="str">
        <v>Diodes Incorporated</v>
      </c>
    </row>
    <row r="34" ht="46" customHeight="1">
      <c r="A34" s="12" t="str">
        <v>CRCW0603220RFKEA</v>
      </c>
      <c r="B34" s="12" t="str">
        <v>220R</v>
      </c>
      <c r="C34" s="14" t="n">
        <v>4</v>
      </c>
      <c r="D34" s="14" t="n">
        <v>0</v>
      </c>
      <c r="E34" s="14" t="n">
        <v>1</v>
      </c>
      <c r="F34" s="14" t="n">
        <f>SUM(C34:E34)</f>
        <v>5</v>
      </c>
      <c r="G34" s="12" t="str">
        <v>each</v>
      </c>
      <c r="H34" s="15" t="str">
        <v>DigiKey</v>
      </c>
      <c r="I34" s="12" t="str">
        <v>Not on course v3 common list. Exact supplier source linked; recheck stock when purchasing.</v>
      </c>
      <c r="J34" s="12" t="str">
        <v>R570 R571 R670 R671</v>
      </c>
      <c r="K34" s="12" t="str">
        <v>Resistor_SMD:R_0603_1608Metric</v>
      </c>
      <c r="L34" s="12" t="str">
        <v>Vishay Dale</v>
      </c>
    </row>
    <row r="35" ht="46" customHeight="1">
      <c r="A35" s="12" t="str">
        <v>SNT-100-BK-T-H</v>
      </c>
      <c r="B35" s="12" t="str">
        <v>Handled 2.54mm jumper caps</v>
      </c>
      <c r="C35" s="14" t="n">
        <v>0</v>
      </c>
      <c r="D35" s="14" t="n">
        <v>18</v>
      </c>
      <c r="E35" s="14" t="n">
        <v>2</v>
      </c>
      <c r="F35" s="14" t="n">
        <f>SUM(C35:E35)</f>
        <v>20</v>
      </c>
      <c r="G35" s="12" t="str">
        <v>each</v>
      </c>
      <c r="H35" s="15" t="str">
        <v>DigiKey</v>
      </c>
      <c r="I35" s="12" t="str">
        <v>Check existing/course jumper-cap stock. This exact handled MPN is outside v3. Total includes 18 required + 2 proposed spares.</v>
      </c>
      <c r="J35" s="12" t="str">
        <v>Off-board</v>
      </c>
      <c r="K35" s="12" t="str">
        <v>Off-board / mechanical</v>
      </c>
      <c r="L35" s="12" t="str">
        <v>Samtec</v>
      </c>
    </row>
    <row r="36" ht="57" customHeight="1">
      <c r="A36" s="12" t="str">
        <v>0297010.L</v>
      </c>
      <c r="B36" s="12" t="str">
        <v>10A MINI blade fuse: review candidate, not qualified</v>
      </c>
      <c r="C36" s="14" t="n">
        <v>0</v>
      </c>
      <c r="D36" s="14" t="n">
        <v>1</v>
      </c>
      <c r="E36" s="14" t="n">
        <v>2</v>
      </c>
      <c r="F36" s="14" t="n">
        <f>SUM(C36:E36)</f>
        <v>3</v>
      </c>
      <c r="G36" s="12" t="str">
        <v>each</v>
      </c>
      <c r="H36" s="15" t="str">
        <v>DigiKey</v>
      </c>
      <c r="I36" s="12" t="str">
        <v>OPEN: 10 A fuse candidate only. Final coordination with battery, wire and connectors is pending. This is not per-motor overcurrent protection.</v>
      </c>
      <c r="J36" s="12" t="str">
        <v>Off-board</v>
      </c>
      <c r="K36" s="12" t="str">
        <v>Off-board / mechanical</v>
      </c>
      <c r="L36" s="12" t="str">
        <v>Littelfuse</v>
      </c>
    </row>
    <row r="37" ht="57" customHeight="1">
      <c r="A37" s="12" t="str">
        <v>970350365</v>
      </c>
      <c r="B37" s="12" t="str">
        <v>M3 female/female nylon chassis spacer; 35mm body, 6mm AF</v>
      </c>
      <c r="C37" s="14" t="n">
        <v>0</v>
      </c>
      <c r="D37" s="14" t="n">
        <v>4</v>
      </c>
      <c r="E37" s="14" t="n">
        <v>1</v>
      </c>
      <c r="F37" s="14" t="n">
        <f>SUM(C37:E37)</f>
        <v>5</v>
      </c>
      <c r="G37" s="12" t="str">
        <v>each</v>
      </c>
      <c r="H37" s="15" t="str">
        <v>DigiKey</v>
      </c>
      <c r="I37" s="12" t="str">
        <v>Standoffs are outside the course v3 list. Length is the current nominal mechanical selection; final mounting arrangement remains under review.</v>
      </c>
      <c r="J37" s="12" t="str">
        <v>Off-board</v>
      </c>
      <c r="K37" s="12" t="str">
        <v>Off-board / mechanical</v>
      </c>
      <c r="L37" s="12" t="str">
        <v>Wurth Elektronik</v>
      </c>
    </row>
    <row r="38" ht="57" customHeight="1">
      <c r="A38" s="12" t="str">
        <v>M1269-2545-AL</v>
      </c>
      <c r="B38" s="12" t="str">
        <v>M2.5 female/female aluminum Pi spacer; 22mm body, 4.5mm hex AF</v>
      </c>
      <c r="C38" s="14" t="n">
        <v>0</v>
      </c>
      <c r="D38" s="14" t="n">
        <v>4</v>
      </c>
      <c r="E38" s="14" t="n">
        <v>1</v>
      </c>
      <c r="F38" s="14" t="n">
        <f>SUM(C38:E38)</f>
        <v>5</v>
      </c>
      <c r="G38" s="12" t="str">
        <v>each</v>
      </c>
      <c r="H38" s="15" t="str">
        <v>DigiKey</v>
      </c>
      <c r="I38" s="12" t="str">
        <v>Standoffs are outside the course v3 list. Length is the current nominal mechanical selection; final mounting arrangement remains under review.</v>
      </c>
      <c r="J38" s="12" t="str">
        <v>Off-board</v>
      </c>
      <c r="K38" s="12" t="str">
        <v>Off-board / mechanical</v>
      </c>
      <c r="L38" s="12" t="str">
        <v>RAF Electronic Hardware</v>
      </c>
    </row>
    <row r="39" ht="57" customHeight="1">
      <c r="A39" s="12" t="str">
        <v>DF63-2S-3.96C</v>
      </c>
      <c r="B39" s="12" t="str">
        <v>Battery/motor cable housings</v>
      </c>
      <c r="C39" s="14" t="n">
        <v>0</v>
      </c>
      <c r="D39" s="14" t="n">
        <v>3</v>
      </c>
      <c r="E39" s="14" t="n">
        <v>1</v>
      </c>
      <c r="F39" s="14" t="n">
        <f>SUM(C39:E39)</f>
        <v>4</v>
      </c>
      <c r="G39" s="12" t="str">
        <v>each</v>
      </c>
      <c r="H39" s="15" t="str">
        <v>DigiKey</v>
      </c>
      <c r="I39" s="12" t="str">
        <v>Hirose adapter component; not on common list. Existing vehicle plug requires an adapter. Match contact wire gauge and verify completed harness before power.</v>
      </c>
      <c r="J39" s="12" t="str">
        <v>Off-board</v>
      </c>
      <c r="K39" s="12" t="str">
        <v>Off-board / mechanical</v>
      </c>
      <c r="L39" s="12" t="str">
        <v>Hirose</v>
      </c>
    </row>
    <row r="40" ht="57" customHeight="1">
      <c r="A40" s="12" t="str">
        <v>DF63A-1618SC</v>
      </c>
      <c r="B40" s="12" t="str">
        <v>Battery/motor crimp contacts</v>
      </c>
      <c r="C40" s="14" t="n">
        <v>0</v>
      </c>
      <c r="D40" s="14" t="n">
        <v>6</v>
      </c>
      <c r="E40" s="14" t="n">
        <v>4</v>
      </c>
      <c r="F40" s="14" t="n">
        <f>SUM(C40:E40)</f>
        <v>10</v>
      </c>
      <c r="G40" s="12" t="str">
        <v>each</v>
      </c>
      <c r="H40" s="15" t="str">
        <v>DigiKey</v>
      </c>
      <c r="I40" s="12" t="str">
        <v>Hirose adapter component; not on common list. Existing vehicle plug requires an adapter. Match contact wire gauge and verify completed harness before power.</v>
      </c>
      <c r="J40" s="12" t="str">
        <v>Off-board</v>
      </c>
      <c r="K40" s="12" t="str">
        <v>Off-board / mechanical</v>
      </c>
      <c r="L40" s="12" t="str">
        <v>Hirose</v>
      </c>
    </row>
    <row r="41" ht="57" customHeight="1">
      <c r="A41" s="12" t="str">
        <v>DF63-3S-3.96C</v>
      </c>
      <c r="B41" s="12" t="str">
        <v>Servo adapter cable housing</v>
      </c>
      <c r="C41" s="14" t="n">
        <v>0</v>
      </c>
      <c r="D41" s="14" t="n">
        <v>1</v>
      </c>
      <c r="E41" s="14" t="n">
        <v>1</v>
      </c>
      <c r="F41" s="14" t="n">
        <f>SUM(C41:E41)</f>
        <v>2</v>
      </c>
      <c r="G41" s="12" t="str">
        <v>each</v>
      </c>
      <c r="H41" s="15" t="str">
        <v>DigiKey</v>
      </c>
      <c r="I41" s="12" t="str">
        <v>Hirose adapter component; not on common list. Existing vehicle plug requires an adapter. Match contact wire gauge and verify completed harness before power.</v>
      </c>
      <c r="J41" s="12" t="str">
        <v>Off-board</v>
      </c>
      <c r="K41" s="12" t="str">
        <v>Off-board / mechanical</v>
      </c>
      <c r="L41" s="12" t="str">
        <v>Hirose</v>
      </c>
    </row>
    <row r="42" ht="57" customHeight="1">
      <c r="A42" s="12" t="str">
        <v>DF63A-2022SC</v>
      </c>
      <c r="B42" s="12" t="str">
        <v>Servo cable contacts / adapter harness</v>
      </c>
      <c r="C42" s="14" t="n">
        <v>0</v>
      </c>
      <c r="D42" s="14" t="n">
        <v>3</v>
      </c>
      <c r="E42" s="14" t="n">
        <v>3</v>
      </c>
      <c r="F42" s="14" t="n">
        <f>SUM(C42:E42)</f>
        <v>6</v>
      </c>
      <c r="G42" s="12" t="str">
        <v>each</v>
      </c>
      <c r="H42" s="15" t="str">
        <v>DigiKey</v>
      </c>
      <c r="I42" s="12" t="str">
        <v>Hirose adapter component; not on common list. Existing vehicle plug requires an adapter. Match contact wire gauge and verify completed harness before power.</v>
      </c>
      <c r="J42" s="12" t="str">
        <v>Off-board</v>
      </c>
      <c r="K42" s="12" t="str">
        <v>Off-board / mechanical</v>
      </c>
      <c r="L42" s="12" t="str">
        <v>Hirose</v>
      </c>
    </row>
    <row r="43" ht="46" customHeight="1">
      <c r="A43" s="12" t="str">
        <v>M20-1060400</v>
      </c>
      <c r="B43" s="12" t="str">
        <v>Encoder board-side 4-position 2.54mm cable housings</v>
      </c>
      <c r="C43" s="14" t="n">
        <v>0</v>
      </c>
      <c r="D43" s="14" t="n">
        <v>2</v>
      </c>
      <c r="E43" s="14" t="n">
        <v>1</v>
      </c>
      <c r="F43" s="14" t="n">
        <f>SUM(C43:E43)</f>
        <v>3</v>
      </c>
      <c r="G43" s="12" t="str">
        <v>each</v>
      </c>
      <c r="H43" s="15" t="str">
        <v>DigiKey</v>
      </c>
      <c r="I43" s="12" t="str">
        <v>Encoder adapter component; not on common list. Verify completed harness pin order/continuity during assembly.</v>
      </c>
      <c r="J43" s="12" t="str">
        <v>Off-board</v>
      </c>
      <c r="K43" s="12" t="str">
        <v>Off-board / mechanical</v>
      </c>
      <c r="L43" s="12" t="str">
        <v>Harwin</v>
      </c>
    </row>
    <row r="44" ht="46" customHeight="1">
      <c r="A44" s="12" t="str">
        <v>97790803111</v>
      </c>
      <c r="B44" s="12" t="str">
        <v>M3x8 nylon pan-head screws for chassis spacers</v>
      </c>
      <c r="C44" s="14" t="n">
        <v>0</v>
      </c>
      <c r="D44" s="14" t="n">
        <v>8</v>
      </c>
      <c r="E44" s="14" t="n">
        <v>2</v>
      </c>
      <c r="F44" s="14" t="n">
        <f>SUM(C44:E44)</f>
        <v>10</v>
      </c>
      <c r="G44" s="12" t="str">
        <v>each</v>
      </c>
      <c r="H44" s="15" t="str">
        <v>DigiKey</v>
      </c>
      <c r="I44" s="12" t="str">
        <v>Not on course v3 common list. Exact supplier source linked; recheck stock when purchasing.</v>
      </c>
      <c r="J44" s="12" t="str">
        <v>Off-board</v>
      </c>
      <c r="K44" s="12" t="str">
        <v>Off-board / mechanical</v>
      </c>
      <c r="L44" s="12" t="str">
        <v>Wurth Elektronik</v>
      </c>
    </row>
    <row r="45" ht="46" customHeight="1">
      <c r="A45" s="12" t="str">
        <v>MFW030A</v>
      </c>
      <c r="B45" s="12" t="str">
        <v>M3 nylon washers; 3.2mm ID x7mm OD x0.5mm</v>
      </c>
      <c r="C45" s="14" t="n">
        <v>0</v>
      </c>
      <c r="D45" s="14" t="n">
        <v>8</v>
      </c>
      <c r="E45" s="14" t="n">
        <v>2</v>
      </c>
      <c r="F45" s="14" t="n">
        <f>SUM(C45:E45)</f>
        <v>10</v>
      </c>
      <c r="G45" s="12" t="str">
        <v>each</v>
      </c>
      <c r="H45" s="15" t="str">
        <v>DigiKey</v>
      </c>
      <c r="I45" s="12" t="str">
        <v>Not on course v3 common list. Exact supplier source linked; recheck stock when purchasing.</v>
      </c>
      <c r="J45" s="12" t="str">
        <v>Off-board</v>
      </c>
      <c r="K45" s="12" t="str">
        <v>Off-board / mechanical</v>
      </c>
      <c r="L45" s="12" t="str">
        <v>Essentra Components</v>
      </c>
    </row>
    <row r="46" ht="46" customHeight="1">
      <c r="A46" s="12" t="str">
        <v>50M025045P005</v>
      </c>
      <c r="B46" s="12" t="str">
        <v>M2.5x5 nylon pan Phillips screws; 5mm head diameter</v>
      </c>
      <c r="C46" s="14" t="n">
        <v>0</v>
      </c>
      <c r="D46" s="14" t="n">
        <v>8</v>
      </c>
      <c r="E46" s="14" t="n">
        <v>2</v>
      </c>
      <c r="F46" s="14" t="n">
        <f>SUM(C46:E46)</f>
        <v>10</v>
      </c>
      <c r="G46" s="12" t="str">
        <v>each</v>
      </c>
      <c r="H46" s="15" t="str">
        <v>DigiKey</v>
      </c>
      <c r="I46" s="12" t="str">
        <v>Not on course v3 common list. Exact supplier source linked; recheck stock when purchasing.</v>
      </c>
      <c r="J46" s="12" t="str">
        <v>Off-board</v>
      </c>
      <c r="K46" s="12" t="str">
        <v>Off-board / mechanical</v>
      </c>
      <c r="L46" s="12" t="str">
        <v>Essentra Components</v>
      </c>
    </row>
    <row r="47" ht="46" customHeight="1">
      <c r="A47" s="12" t="str">
        <v>M20-1180046</v>
      </c>
      <c r="B47" s="12" t="str">
        <v>Encoder housing loose female crimp contacts; 22-30AWG</v>
      </c>
      <c r="C47" s="14" t="n">
        <v>0</v>
      </c>
      <c r="D47" s="14" t="n">
        <v>8</v>
      </c>
      <c r="E47" s="14" t="n">
        <v>4</v>
      </c>
      <c r="F47" s="14" t="n">
        <f>SUM(C47:E47)</f>
        <v>12</v>
      </c>
      <c r="G47" s="12" t="str">
        <v>each</v>
      </c>
      <c r="H47" s="15" t="str">
        <v>DigiKey</v>
      </c>
      <c r="I47" s="12" t="str">
        <v>Encoder adapter component; not on common list. Verify completed harness pin order/continuity during assembly.</v>
      </c>
      <c r="J47" s="12" t="str">
        <v>Off-board</v>
      </c>
      <c r="K47" s="12" t="str">
        <v>Off-board / mechanical</v>
      </c>
      <c r="L47" s="12" t="str">
        <v>Harwin</v>
      </c>
    </row>
    <row r="48" ht="46" customHeight="1">
      <c r="A48" s="12" t="str">
        <v>3057 (red/black cut lengths)</v>
      </c>
      <c r="B48" s="12" t="str">
        <v>16AWG stranded UL1007 power wire; total metres, half red/half black</v>
      </c>
      <c r="C48" s="14" t="n">
        <v>0</v>
      </c>
      <c r="D48" s="14" t="n">
        <v>4</v>
      </c>
      <c r="E48" s="14" t="n">
        <v>2</v>
      </c>
      <c r="F48" s="14" t="n">
        <f>SUM(C48:E48)</f>
        <v>6</v>
      </c>
      <c r="G48" s="12" t="str">
        <v>m</v>
      </c>
      <c r="H48" s="15" t="str">
        <v>DigiKey</v>
      </c>
      <c r="I48" s="12" t="str">
        <v>Quantity is total metres, half red and half black. Buy cut lengths; do not interpret as whole spools.</v>
      </c>
      <c r="J48" s="12" t="str">
        <v>Off-board</v>
      </c>
      <c r="K48" s="12" t="str">
        <v>Off-board / mechanical</v>
      </c>
      <c r="L48" s="12" t="str">
        <v>Alpha Wire</v>
      </c>
    </row>
    <row r="49" ht="46" customHeight="1">
      <c r="A49" s="12" t="str">
        <v>3051 (red/black cut lengths)</v>
      </c>
      <c r="B49" s="12" t="str">
        <v>22AWG stranded UL1007 charger wire; total metres, half red/half black</v>
      </c>
      <c r="C49" s="14" t="n">
        <v>0</v>
      </c>
      <c r="D49" s="14" t="n">
        <v>2</v>
      </c>
      <c r="E49" s="14" t="n">
        <v>0</v>
      </c>
      <c r="F49" s="14" t="n">
        <f>SUM(C49:E49)</f>
        <v>2</v>
      </c>
      <c r="G49" s="12" t="str">
        <v>m</v>
      </c>
      <c r="H49" s="15" t="str">
        <v>DigiKey</v>
      </c>
      <c r="I49" s="12" t="str">
        <v>Quantity is total metres, half red and half black. Charger selection remains open; buy cut lengths rather than whole spools.</v>
      </c>
      <c r="J49" s="12" t="str">
        <v>Off-board</v>
      </c>
      <c r="K49" s="12" t="str">
        <v>Off-board / mechanical</v>
      </c>
      <c r="L49" s="12" t="str">
        <v>Alpha Wire</v>
      </c>
    </row>
    <row r="50" ht="46" customHeight="1">
      <c r="A50" s="12" t="str">
        <v>WP7113ID</v>
      </c>
      <c r="B50" s="12" t="str">
        <v>5mm red vehicle LED: front-left</v>
      </c>
      <c r="C50" s="14" t="n">
        <v>0</v>
      </c>
      <c r="D50" s="14" t="n">
        <v>1</v>
      </c>
      <c r="E50" s="14" t="n">
        <v>1</v>
      </c>
      <c r="F50" s="14" t="n">
        <f>SUM(C50:E50)</f>
        <v>2</v>
      </c>
      <c r="G50" s="12" t="str">
        <v>each</v>
      </c>
      <c r="H50" s="15" t="str">
        <v>DigiKey</v>
      </c>
      <c r="I50" s="12" t="str">
        <v>Check existing vehicle LEDs/team stock before purchasing. Quantity includes the proposed spare; buy only the shortfall.</v>
      </c>
      <c r="J50" s="12" t="str">
        <v>Off-board</v>
      </c>
      <c r="K50" s="12" t="str">
        <v>Off-board / mechanical</v>
      </c>
      <c r="L50" s="12" t="str">
        <v>Kingbright</v>
      </c>
    </row>
    <row r="51" ht="46" customHeight="1">
      <c r="A51" s="12" t="str">
        <v>WP7113QWC/D</v>
      </c>
      <c r="B51" s="12" t="str">
        <v>5mm white vehicle LED: front-right</v>
      </c>
      <c r="C51" s="14" t="n">
        <v>0</v>
      </c>
      <c r="D51" s="14" t="n">
        <v>1</v>
      </c>
      <c r="E51" s="14" t="n">
        <v>1</v>
      </c>
      <c r="F51" s="14" t="n">
        <f>SUM(C51:E51)</f>
        <v>2</v>
      </c>
      <c r="G51" s="12" t="str">
        <v>each</v>
      </c>
      <c r="H51" s="15" t="str">
        <v>DigiKey</v>
      </c>
      <c r="I51" s="12" t="str">
        <v>Check existing vehicle LEDs/team stock before purchasing. Quantity includes the proposed spare; buy only the shortfall.</v>
      </c>
      <c r="J51" s="12" t="str">
        <v>Off-board</v>
      </c>
      <c r="K51" s="12" t="str">
        <v>Off-board / mechanical</v>
      </c>
      <c r="L51" s="12" t="str">
        <v>Kingbright</v>
      </c>
    </row>
    <row r="52" ht="46" customHeight="1">
      <c r="A52" s="12" t="str">
        <v>WP7113YD</v>
      </c>
      <c r="B52" s="12" t="str">
        <v>5mm yellow vehicle LED: rear-left</v>
      </c>
      <c r="C52" s="14" t="n">
        <v>0</v>
      </c>
      <c r="D52" s="14" t="n">
        <v>1</v>
      </c>
      <c r="E52" s="14" t="n">
        <v>1</v>
      </c>
      <c r="F52" s="14" t="n">
        <f>SUM(C52:E52)</f>
        <v>2</v>
      </c>
      <c r="G52" s="12" t="str">
        <v>each</v>
      </c>
      <c r="H52" s="15" t="str">
        <v>DigiKey</v>
      </c>
      <c r="I52" s="12" t="str">
        <v>Check existing vehicle LEDs/team stock before purchasing. Quantity includes the proposed spare; buy only the shortfall.</v>
      </c>
      <c r="J52" s="12" t="str">
        <v>Off-board</v>
      </c>
      <c r="K52" s="12" t="str">
        <v>Off-board / mechanical</v>
      </c>
      <c r="L52" s="12" t="str">
        <v>Kingbright</v>
      </c>
    </row>
    <row r="53" ht="46" customHeight="1">
      <c r="A53" s="12" t="str">
        <v>WP7113QBC/D</v>
      </c>
      <c r="B53" s="12" t="str">
        <v>5mm blue vehicle LED: rear-right</v>
      </c>
      <c r="C53" s="14" t="n">
        <v>0</v>
      </c>
      <c r="D53" s="14" t="n">
        <v>1</v>
      </c>
      <c r="E53" s="14" t="n">
        <v>1</v>
      </c>
      <c r="F53" s="14" t="n">
        <f>SUM(C53:E53)</f>
        <v>2</v>
      </c>
      <c r="G53" s="12" t="str">
        <v>each</v>
      </c>
      <c r="H53" s="15" t="str">
        <v>DigiKey</v>
      </c>
      <c r="I53" s="12" t="str">
        <v>Check existing vehicle LEDs/team stock before purchasing. Quantity includes the proposed spare; buy only the shortfall.</v>
      </c>
      <c r="J53" s="12" t="str">
        <v>Off-board</v>
      </c>
      <c r="K53" s="12" t="str">
        <v>Off-board / mechanical</v>
      </c>
      <c r="L53" s="12" t="str">
        <v>Kingbright</v>
      </c>
    </row>
    <row r="54" ht="46" customHeight="1">
      <c r="A54" s="12" t="str">
        <v>UNRESOLVED: L298N-to-6396BG attachment</v>
      </c>
      <c r="B54" s="12" t="str">
        <v>Heatsink mounting kit: one assembly; staff follow-up after October24 review</v>
      </c>
      <c r="C54" s="14" t="n">
        <v>0</v>
      </c>
      <c r="D54" s="14" t="n">
        <v>1</v>
      </c>
      <c r="E54" s="14" t="n">
        <v>0</v>
      </c>
      <c r="F54" s="14" t="n">
        <f>SUM(C54:E54)</f>
        <v>1</v>
      </c>
      <c r="G54" s="12" t="str">
        <v>assembly</v>
      </c>
      <c r="H54" s="15" t="str">
        <v>Review needed</v>
      </c>
      <c r="I54" s="12" t="str">
        <v>OPEN: L298-to-6396BG attachment hardware unspecified; staff follow-up. Final mounting arrangement may affect PCB placement.</v>
      </c>
      <c r="J54" s="12" t="str">
        <v>Off-board</v>
      </c>
      <c r="K54" s="12" t="str">
        <v>Off-board / mechanical</v>
      </c>
      <c r="L54" s="12" t="str">
        <v>Depends on confirmed attachment</v>
      </c>
    </row>
    <row r="55" ht="57" customHeight="1">
      <c r="A55" s="12" t="str">
        <v>PROVISIONAL: Tenergy Amazon B077Y9HNTF</v>
      </c>
      <c r="B55" s="12" t="str">
        <v>12V 2000mAh NiMH pack; 2A maximum continuous discharge; unqualified review candidate</v>
      </c>
      <c r="C55" s="14" t="n">
        <v>0</v>
      </c>
      <c r="D55" s="14" t="n">
        <v>1</v>
      </c>
      <c r="E55" s="14" t="n">
        <v>0</v>
      </c>
      <c r="F55" s="14" t="n">
        <f>SUM(C55:E55)</f>
        <v>1</v>
      </c>
      <c r="G55" s="12" t="str">
        <v>pack</v>
      </c>
      <c r="H55" s="15" t="str">
        <v>Amazon</v>
      </c>
      <c r="I55" s="12" t="str">
        <v>OPEN: Provisional Amazon pack. Published 2 A continuous limit; no 10 A pulse rating established. Dimensions exceed checked envelope. Replacement/TA review pending.</v>
      </c>
      <c r="J55" s="12" t="str">
        <v>Off-board</v>
      </c>
      <c r="K55" s="12" t="str">
        <v>External / mechanical</v>
      </c>
      <c r="L55" s="12" t="str">
        <v>Tenergy</v>
      </c>
    </row>
    <row r="56" ht="57" customHeight="1">
      <c r="A56" s="12" t="str">
        <v>UNRESOLVED: NiMH charger</v>
      </c>
      <c r="B56" s="12" t="str">
        <v>One charger explicitly compatible with selected ten-cell pack</v>
      </c>
      <c r="C56" s="14" t="n">
        <v>0</v>
      </c>
      <c r="D56" s="14" t="n">
        <v>1</v>
      </c>
      <c r="E56" s="14" t="n">
        <v>0</v>
      </c>
      <c r="F56" s="14" t="n">
        <f>SUM(C56:E56)</f>
        <v>1</v>
      </c>
      <c r="G56" s="12" t="str">
        <v>each</v>
      </c>
      <c r="H56" s="15" t="str">
        <v>Review needed</v>
      </c>
      <c r="I56" s="12" t="str">
        <v>OPEN: Exact compatible charger and permitted source unresolved. Match final pack, charging current, connector and polarity. Use DigiKey/Mouser or a TA exception.</v>
      </c>
      <c r="J56" s="12" t="str">
        <v>Off-board</v>
      </c>
      <c r="K56" s="12" t="str">
        <v>External / mechanical</v>
      </c>
      <c r="L56" s="12" t="str">
        <v>Unselected</v>
      </c>
    </row>
    <row r="57" ht="57" customHeight="1">
      <c r="A57" s="12" t="str">
        <v>UNRESOLVED: servo-side adapter lead</v>
      </c>
      <c r="B57" s="12" t="str">
        <v>One servo adapter; SparkFun19224 candidate only; Hirose parts listed separately</v>
      </c>
      <c r="C57" s="14" t="n">
        <v>0</v>
      </c>
      <c r="D57" s="14" t="n">
        <v>1</v>
      </c>
      <c r="E57" s="14" t="n">
        <v>0</v>
      </c>
      <c r="F57" s="14" t="n">
        <f>SUM(C57:E57)</f>
        <v>1</v>
      </c>
      <c r="G57" s="12" t="str">
        <v>each</v>
      </c>
      <c r="H57" s="15" t="str">
        <v>Review needed</v>
      </c>
      <c r="I57" s="12" t="str">
        <v>OPEN: Exact servo-side lead and current capability unresolved. SparkFun19224 is a candidate only. Hirose components are listed separately.</v>
      </c>
      <c r="J57" s="12" t="str">
        <v>Off-board</v>
      </c>
      <c r="K57" s="12" t="str">
        <v>External / mechanical</v>
      </c>
      <c r="L57" s="12" t="str">
        <v>Unselected; SparkFun candidate</v>
      </c>
    </row>
  </sheetData>
  <conditionalFormatting sqref="I9:I57">
    <cfRule type="containsText" dxfId="0" priority="1" operator="containsText" text="OPEN:"/>
  </conditionalFormatting>
  <hyperlinks>
    <hyperlink ref="A5" r:id="rIdBOMLink1"/>
    <hyperlink ref="B5" r:id="rIdBOMLink2"/>
    <hyperlink ref="H5" r:id="rIdBOMLink3"/>
    <hyperlink ref="H9" r:id="rIdBOMLink4"/>
    <hyperlink ref="H10" r:id="rIdBOMLink5"/>
    <hyperlink ref="H11" r:id="rIdBOMLink6"/>
    <hyperlink ref="H12" r:id="rIdBOMLink7"/>
    <hyperlink ref="H13" r:id="rIdBOMLink8"/>
    <hyperlink ref="H14" r:id="rIdBOMLink9"/>
    <hyperlink ref="H15" r:id="rIdBOMLink10"/>
    <hyperlink ref="H16" r:id="rIdBOMLink11"/>
    <hyperlink ref="H17" r:id="rIdBOMLink12"/>
    <hyperlink ref="H18" r:id="rIdBOMLink13"/>
    <hyperlink ref="H19" r:id="rIdBOMLink14"/>
    <hyperlink ref="H20" r:id="rIdBOMLink15"/>
    <hyperlink ref="H21" r:id="rIdBOMLink16"/>
    <hyperlink ref="H22" r:id="rIdBOMLink17"/>
    <hyperlink ref="H23" r:id="rIdBOMLink18"/>
    <hyperlink ref="H24" r:id="rIdBOMLink19"/>
    <hyperlink ref="H25" r:id="rIdBOMLink20"/>
    <hyperlink ref="H26" r:id="rIdBOMLink21"/>
    <hyperlink ref="H27" r:id="rIdBOMLink22"/>
    <hyperlink ref="H28" r:id="rIdBOMLink23"/>
    <hyperlink ref="H29" r:id="rIdBOMLink24"/>
    <hyperlink ref="H30" r:id="rIdBOMLink25"/>
    <hyperlink ref="H31" r:id="rIdBOMLink26"/>
    <hyperlink ref="H32" r:id="rIdBOMLink27"/>
    <hyperlink ref="H33" r:id="rIdBOMLink28"/>
    <hyperlink ref="H34" r:id="rIdBOMLink29"/>
    <hyperlink ref="H35" r:id="rIdBOMLink30"/>
    <hyperlink ref="H36" r:id="rIdBOMLink31"/>
    <hyperlink ref="H37" r:id="rIdBOMLink32"/>
    <hyperlink ref="H38" r:id="rIdBOMLink33"/>
    <hyperlink ref="H39" r:id="rIdBOMLink34"/>
    <hyperlink ref="H40" r:id="rIdBOMLink35"/>
    <hyperlink ref="H41" r:id="rIdBOMLink36"/>
    <hyperlink ref="H42" r:id="rIdBOMLink37"/>
    <hyperlink ref="H43" r:id="rIdBOMLink38"/>
    <hyperlink ref="H44" r:id="rIdBOMLink39"/>
    <hyperlink ref="H45" r:id="rIdBOMLink40"/>
    <hyperlink ref="H46" r:id="rIdBOMLink41"/>
    <hyperlink ref="H47" r:id="rIdBOMLink42"/>
    <hyperlink ref="H48" r:id="rIdBOMLink43"/>
    <hyperlink ref="H49" r:id="rIdBOMLink44"/>
    <hyperlink ref="H50" r:id="rIdBOMLink45"/>
    <hyperlink ref="H51" r:id="rIdBOMLink46"/>
    <hyperlink ref="H52" r:id="rIdBOMLink47"/>
    <hyperlink ref="H53" r:id="rIdBOMLink48"/>
    <hyperlink ref="H54" r:id="rIdBOMLink49"/>
    <hyperlink ref="H55" r:id="rIdBOMLink50"/>
    <hyperlink ref="H56" r:id="rIdBOMLink51"/>
    <hyperlink ref="H57" r:id="rIdBOMLink52"/>
  </hyperlinks>
  <pageMargins left="0.7" right="0.7" top="0.75" bottom="0.75" header="0.3" footer="0.3"/>
  <tableParts count="1">
    <tablePart r:id="Rc4f6e18bc4144bf0"/>
  </tableParts>
</worksheet>
</file>

<file path=xl/worksheets/sheet2.xml><?xml version="1.0" encoding="utf-8"?>
<worksheet xmlns="http://schemas.openxmlformats.org/spreadsheetml/2006/main" xmlns:r="http://schemas.openxmlformats.org/officeDocument/2006/relationships">
  <sheetPr>
    <tabColor rgb="FF64748B"/>
  </sheetPr>
  <sheetViews>
    <sheetView showGridLines="0" workbookViewId="0">
      <pane xSplit="2" ySplit="8" topLeftCell="C9" activePane="bottomRight" state="frozen"/>
    </sheetView>
  </sheetViews>
  <sheetFormatPr defaultRowHeight="15"/>
  <cols>
    <col min="1" max="1" width="35" hidden="0" customWidth="1"/>
    <col min="2" max="2" width="46" hidden="0" customWidth="1"/>
    <col min="3" max="3" width="10" hidden="0" customWidth="1"/>
    <col min="4" max="4" width="11" hidden="0" customWidth="1"/>
    <col min="5" max="5" width="9" hidden="0" customWidth="1"/>
    <col min="6" max="6" width="12" hidden="0" customWidth="1"/>
    <col min="7" max="7" width="9" hidden="0" customWidth="1"/>
    <col min="8" max="8" width="19" hidden="0" customWidth="1"/>
    <col min="9" max="9" width="66" hidden="0" customWidth="1"/>
    <col min="10" max="10" width="43" hidden="0" customWidth="1"/>
    <col min="11" max="11" width="55" hidden="0" customWidth="1"/>
    <col min="12" max="12" width="25" hidden="0" customWidth="1"/>
  </cols>
  <sheetData>
    <row r="1">
      <c r="A1" s="1"/>
      <c r="B1" s="1"/>
      <c r="C1" s="1"/>
      <c r="D1" s="1"/>
      <c r="E1" s="1"/>
      <c r="F1" s="1"/>
      <c r="G1" s="1"/>
      <c r="H1" s="1"/>
      <c r="I1" s="1"/>
      <c r="J1" s="1"/>
      <c r="K1" s="1"/>
      <c r="L1" s="1"/>
    </row>
    <row r="2" ht="26" customHeight="1">
      <c r="A2" s="8" t="str">
        <v>Team 4 Lab 4 BOM — common parts</v>
      </c>
      <c r="B2" s="8"/>
      <c r="C2" s="8"/>
      <c r="D2" s="8"/>
      <c r="E2" s="8"/>
      <c r="F2" s="8"/>
      <c r="G2" s="8"/>
      <c r="H2" s="8"/>
      <c r="I2" s="8"/>
      <c r="J2" s="8"/>
      <c r="K2" s="8"/>
      <c r="L2" s="8"/>
    </row>
    <row r="3" ht="19" customHeight="1">
      <c r="A3" s="9" t="str">
        <v>Common = exact MPN or generic header entry in the course v3 list. Allocation is unconfirmed.</v>
      </c>
      <c r="B3" s="9"/>
      <c r="C3" s="9"/>
      <c r="D3" s="9"/>
      <c r="E3" s="9"/>
      <c r="F3" s="9"/>
      <c r="G3" s="9"/>
      <c r="H3" s="9"/>
      <c r="I3" s="9"/>
      <c r="J3" s="9"/>
      <c r="K3" s="9"/>
      <c r="L3" s="9"/>
    </row>
    <row r="4" ht="19" customHeight="1">
      <c r="A4" s="9" t="str">
        <v>Totals include proposed spares. Buy only the shortfall after checking course/team stock. OPEN items require TA review.</v>
      </c>
      <c r="B4" s="9"/>
      <c r="C4" s="9"/>
      <c r="D4" s="9"/>
      <c r="E4" s="9"/>
      <c r="F4" s="9"/>
      <c r="G4" s="9"/>
      <c r="H4" s="9"/>
      <c r="I4" s="9"/>
      <c r="J4" s="9"/>
      <c r="K4" s="9"/>
      <c r="L4" s="9"/>
    </row>
    <row r="5" ht="19" customHeight="1">
      <c r="A5" s="11" t="str">
        <v>Source purchasing BOM</v>
      </c>
      <c r="B5" s="11" t="str">
        <v>Course common-list confirmation</v>
      </c>
      <c r="C5" s="1"/>
      <c r="D5" s="1"/>
      <c r="E5" s="1"/>
      <c r="F5" s="1"/>
      <c r="G5" s="1"/>
      <c r="H5" s="11" t="str">
        <v>TA announcement</v>
      </c>
      <c r="I5" s="1"/>
      <c r="J5" s="1"/>
      <c r="K5" s="1"/>
      <c r="L5" s="1"/>
    </row>
    <row r="6" ht="19" customHeight="1">
      <c r="A6" s="10" t="str">
        <v>Prepared October 26, 2026. 36 consolidated lines. Zero-quantity historical alternatives omitted.</v>
      </c>
      <c r="B6" s="10"/>
      <c r="C6" s="10"/>
      <c r="D6" s="10"/>
      <c r="E6" s="10"/>
      <c r="F6" s="10"/>
      <c r="G6" s="10"/>
      <c r="H6" s="10"/>
      <c r="I6" s="10"/>
      <c r="J6" s="10"/>
      <c r="K6" s="10"/>
      <c r="L6" s="10"/>
    </row>
    <row r="7">
      <c r="A7" s="1"/>
      <c r="B7" s="1"/>
      <c r="C7" s="1"/>
      <c r="D7" s="1"/>
      <c r="E7" s="1"/>
      <c r="F7" s="1"/>
      <c r="G7" s="1"/>
      <c r="H7" s="1"/>
      <c r="I7" s="1"/>
      <c r="J7" s="1"/>
      <c r="K7" s="1"/>
      <c r="L7" s="1"/>
    </row>
    <row r="8" ht="34" customHeight="1">
      <c r="A8" s="7" t="str">
        <v>Part / MPN / specification</v>
      </c>
      <c r="B8" s="7" t="str">
        <v>Description</v>
      </c>
      <c r="C8" s="7" t="str">
        <v>In design</v>
      </c>
      <c r="D8" s="7" t="str">
        <v>Off-board</v>
      </c>
      <c r="E8" s="7" t="str">
        <v>Spares</v>
      </c>
      <c r="F8" s="7" t="str">
        <v>Total requested</v>
      </c>
      <c r="G8" s="7" t="str">
        <v>Unit</v>
      </c>
      <c r="H8" s="7" t="str">
        <v>Supplier / source</v>
      </c>
      <c r="I8" s="7" t="str">
        <v>TA review / purchasing note</v>
      </c>
      <c r="J8" s="7" t="str">
        <v>References</v>
      </c>
      <c r="K8" s="7" t="str">
        <v>Footprint / package</v>
      </c>
      <c r="L8" s="7" t="str">
        <v>Manufacturer</v>
      </c>
    </row>
    <row r="9" ht="46" customHeight="1">
      <c r="A9" s="17" t="str">
        <v>MCP2515T-I/ST</v>
      </c>
      <c r="B9" s="17" t="str">
        <v>MCP2515T-I/ST</v>
      </c>
      <c r="C9" s="19" t="n">
        <v>6</v>
      </c>
      <c r="D9" s="19" t="n">
        <v>0</v>
      </c>
      <c r="E9" s="19" t="n">
        <v>1</v>
      </c>
      <c r="F9" s="19" t="n">
        <f>SUM(C9:E9)</f>
        <v>7</v>
      </c>
      <c r="G9" s="17" t="str">
        <v>each</v>
      </c>
      <c r="H9" s="20" t="str">
        <v>DigiKey</v>
      </c>
      <c r="I9" s="17" t="str">
        <v>Exact MPN on course v3 list. Confirm allocated quantity; purchase only a shortfall.</v>
      </c>
      <c r="J9" s="17" t="str">
        <v>U10 U14 U20 U24 U30 U34</v>
      </c>
      <c r="K9" s="17" t="str">
        <v>Package_SO:TSSOP-20_4.4x6.5mm_P0.65mm</v>
      </c>
      <c r="L9" s="17" t="str">
        <v>Microchip Technology</v>
      </c>
    </row>
    <row r="10" ht="46" customHeight="1">
      <c r="A10" s="17" t="str">
        <v>SN65HVD231DR</v>
      </c>
      <c r="B10" s="17" t="str">
        <v>SN65HVD231DR</v>
      </c>
      <c r="C10" s="19" t="n">
        <v>6</v>
      </c>
      <c r="D10" s="19" t="n">
        <v>0</v>
      </c>
      <c r="E10" s="19" t="n">
        <v>1</v>
      </c>
      <c r="F10" s="19" t="n">
        <f>SUM(C10:E10)</f>
        <v>7</v>
      </c>
      <c r="G10" s="17" t="str">
        <v>each</v>
      </c>
      <c r="H10" s="20" t="str">
        <v>DigiKey</v>
      </c>
      <c r="I10" s="17" t="str">
        <v>Exact MPN on course v3 list. Confirm allocated quantity; purchase only a shortfall.</v>
      </c>
      <c r="J10" s="17" t="str">
        <v>U11 U15 U21 U25 U31 U35</v>
      </c>
      <c r="K10" s="17" t="str">
        <v>Package_SO:SOIC-8_3.9x4.9mm_P1.27mm</v>
      </c>
      <c r="L10" s="17" t="str">
        <v>Texas Instruments</v>
      </c>
    </row>
    <row r="11" ht="46" customHeight="1">
      <c r="A11" s="17" t="str">
        <v>CX3225SB16000H0FLJCC</v>
      </c>
      <c r="B11" s="17" t="str">
        <v>16 MHz</v>
      </c>
      <c r="C11" s="19" t="n">
        <v>6</v>
      </c>
      <c r="D11" s="19" t="n">
        <v>0</v>
      </c>
      <c r="E11" s="19" t="n">
        <v>1</v>
      </c>
      <c r="F11" s="19" t="n">
        <f>SUM(C11:E11)</f>
        <v>7</v>
      </c>
      <c r="G11" s="17" t="str">
        <v>each</v>
      </c>
      <c r="H11" s="20" t="str">
        <v>DigiKey</v>
      </c>
      <c r="I11" s="17" t="str">
        <v>Exact MPN on course v3 list. Confirm allocated quantity; purchase only a shortfall.</v>
      </c>
      <c r="J11" s="17" t="str">
        <v>Y10 Y14 Y20 Y24 Y30 Y34</v>
      </c>
      <c r="K11" s="17" t="str">
        <v>Crystal:Crystal_SMD_3225-4Pin_3.2x2.5mm</v>
      </c>
      <c r="L11" s="17" t="str">
        <v>KYOCERA AVX</v>
      </c>
    </row>
    <row r="12" ht="102" customHeight="1">
      <c r="A12" s="17" t="str">
        <v>CRCW060310K0FKEA</v>
      </c>
      <c r="B12" s="17" t="str">
        <v>10k; 10k 1%; 10k PG pullup; 10k BOOT0; 10k NRST; 10k TEST pullup; 10k PWM pulldown; 10k boot pulldown</v>
      </c>
      <c r="C12" s="19" t="n">
        <v>43</v>
      </c>
      <c r="D12" s="19" t="n">
        <v>0</v>
      </c>
      <c r="E12" s="19" t="n">
        <v>9</v>
      </c>
      <c r="F12" s="19" t="n">
        <f>SUM(C12:E12)</f>
        <v>52</v>
      </c>
      <c r="G12" s="17" t="str">
        <v>each</v>
      </c>
      <c r="H12" s="20" t="str">
        <v>DigiKey</v>
      </c>
      <c r="I12" s="17" t="str">
        <v>Exact MPN on course v3 list. Confirm allocated quantity; purchase only a shortfall.</v>
      </c>
      <c r="J12" s="17" t="str">
        <v>R100 R101 R140 R141 R200 R201 R240 R241 R300 R301 R340 R341 R3 R4 R6 R7 R400 R413 R423 R433 R804 R805 R806 R807 R411 R431 R414 R424 R434 R500 R600 R501 R601 R502 R602 R700 R530 R630 R631 R632 R633 R634 R635</v>
      </c>
      <c r="K12" s="17" t="str">
        <v>Resistor_SMD:R_0603_1608Metric</v>
      </c>
      <c r="L12" s="17" t="str">
        <v>Vishay</v>
      </c>
    </row>
    <row r="13" ht="102" customHeight="1">
      <c r="A13" s="17" t="str">
        <v>KGM15AR71C104KT</v>
      </c>
      <c r="B13" s="17" t="str">
        <v>100n; 100n VDD19; 100n VDD32; 100n VDD48; 100n VDD64; 100n VBAT; 100n VDDA; 100n NRST; 100n TEST</v>
      </c>
      <c r="C13" s="19" t="n">
        <v>44</v>
      </c>
      <c r="D13" s="19" t="n">
        <v>0</v>
      </c>
      <c r="E13" s="19" t="n">
        <v>11</v>
      </c>
      <c r="F13" s="19" t="n">
        <f>SUM(C13:E13)</f>
        <v>55</v>
      </c>
      <c r="G13" s="17" t="str">
        <v>each</v>
      </c>
      <c r="H13" s="20" t="str">
        <v>DigiKey</v>
      </c>
      <c r="I13" s="17" t="str">
        <v>Exact MPN on course v3 list. Confirm allocated quantity; purchase only a shortfall.</v>
      </c>
      <c r="J13" s="17" t="str">
        <v>C102 C103 C104 C142 C143 C144 C202 C203 C204 C242 C243 C244 C302 C303 C304 C342 C343 C344 C1 C2 C3 C5 C6 C8 C701 C801 C803 C500 C600 C501 C601 C502 C602 C503 C603 C504 C604 C507 C607 C509 C609 C510 C610 C702</v>
      </c>
      <c r="K13" s="17" t="str">
        <v>Capacitor_SMD:C_0603_1608Metric</v>
      </c>
      <c r="L13" s="17" t="str">
        <v>KYOCERA AVX</v>
      </c>
    </row>
    <row r="14" ht="46" customHeight="1">
      <c r="A14" s="17" t="str">
        <v>Header 2x02 / 2.54 mm / vertical</v>
      </c>
      <c r="B14" s="17" t="str">
        <v>CAN A isolation; CAN B isolation</v>
      </c>
      <c r="C14" s="19" t="n">
        <v>6</v>
      </c>
      <c r="D14" s="19" t="n">
        <v>0</v>
      </c>
      <c r="E14" s="19" t="n">
        <v>2</v>
      </c>
      <c r="F14" s="19" t="n">
        <f>SUM(C14:E14)</f>
        <v>8</v>
      </c>
      <c r="G14" s="17" t="str">
        <v>each</v>
      </c>
      <c r="H14" s="20" t="str">
        <v>Course stock</v>
      </c>
      <c r="I14" s="17" t="str">
        <v>Course v3 generic header. Confirm row/pin geometry and allocated quantity. Buy only a shortfall from DigiKey/Mouser.</v>
      </c>
      <c r="J14" s="17" t="str">
        <v>J10 J20 J30 J14 J24 J34</v>
      </c>
      <c r="K14" s="17" t="str">
        <v>Connector_PinHeader_2.54mm:PinHeader_2x02_P2.54mm_Vertical</v>
      </c>
      <c r="L14" s="17" t="str">
        <v>Unspecified</v>
      </c>
    </row>
    <row r="15" ht="57" customHeight="1">
      <c r="A15" s="17" t="str">
        <v>Header 1x04 / 2.54 mm / vertical</v>
      </c>
      <c r="B15" s="17" t="str">
        <v>CAN A test; CAN B test; Current test; Reserved / encoder probes; LEFT encoder; RIGHT encoder</v>
      </c>
      <c r="C15" s="19" t="n">
        <v>11</v>
      </c>
      <c r="D15" s="19" t="n">
        <v>0</v>
      </c>
      <c r="E15" s="19" t="n">
        <v>6</v>
      </c>
      <c r="F15" s="19" t="n">
        <f>SUM(C15:E15)</f>
        <v>17</v>
      </c>
      <c r="G15" s="17" t="str">
        <v>each</v>
      </c>
      <c r="H15" s="20" t="str">
        <v>Course stock</v>
      </c>
      <c r="I15" s="17" t="str">
        <v>Course v3 generic header. Confirm row/pin geometry and allocated quantity. Buy only a shortfall from DigiKey/Mouser.</v>
      </c>
      <c r="J15" s="17" t="str">
        <v>J11 J21 J31 J15 J25 J35 J2 J3 J505 J82 J83</v>
      </c>
      <c r="K15" s="17" t="str">
        <v>Connector_PinHeader_2.54mm:PinHeader_1x04_P2.54mm_Vertical</v>
      </c>
      <c r="L15" s="17" t="str">
        <v>Unspecified</v>
      </c>
    </row>
    <row r="16" ht="57" customHeight="1">
      <c r="A16" s="17" t="str">
        <v>Header 1x02 / 2.54 mm / vertical</v>
      </c>
      <c r="B16" s="17" t="str">
        <v>TERM A; TERM B; VBAT test; BOOT recovery; FRONT LEFT lamp; FRONT RIGHT lamp; REAR LEFT lamp; REAR RIGHT lamp</v>
      </c>
      <c r="C16" s="19" t="n">
        <v>11</v>
      </c>
      <c r="D16" s="19" t="n">
        <v>0</v>
      </c>
      <c r="E16" s="19" t="n">
        <v>8</v>
      </c>
      <c r="F16" s="19" t="n">
        <f>SUM(C16:E16)</f>
        <v>19</v>
      </c>
      <c r="G16" s="17" t="str">
        <v>each</v>
      </c>
      <c r="H16" s="20" t="str">
        <v>Course stock</v>
      </c>
      <c r="I16" s="17" t="str">
        <v>Course v3 generic header. Confirm row/pin geometry and allocated quantity. Buy only a shortfall from DigiKey/Mouser.</v>
      </c>
      <c r="J16" s="17" t="str">
        <v>JP10 JP20 JP14 JP24 J41 J500 J600 J550 J551 J650 J651</v>
      </c>
      <c r="K16" s="17" t="str">
        <v>Connector_PinHeader_2.54mm:PinHeader_1x02_P2.54mm_Vertical</v>
      </c>
      <c r="L16" s="17" t="str">
        <v>Unspecified</v>
      </c>
    </row>
    <row r="17" ht="46" customHeight="1">
      <c r="A17" s="17" t="str">
        <v>RC0603FR-07120RL</v>
      </c>
      <c r="B17" s="17" t="str">
        <v>120R</v>
      </c>
      <c r="C17" s="19" t="n">
        <v>4</v>
      </c>
      <c r="D17" s="19" t="n">
        <v>0</v>
      </c>
      <c r="E17" s="19" t="n">
        <v>1</v>
      </c>
      <c r="F17" s="19" t="n">
        <f>SUM(C17:E17)</f>
        <v>5</v>
      </c>
      <c r="G17" s="17" t="str">
        <v>each</v>
      </c>
      <c r="H17" s="20" t="str">
        <v>DigiKey</v>
      </c>
      <c r="I17" s="17" t="str">
        <v>Exact MPN on course v3 list. Confirm allocated quantity; purchase only a shortfall.</v>
      </c>
      <c r="J17" s="17" t="str">
        <v>R102 R142 R202 R242</v>
      </c>
      <c r="K17" s="17" t="str">
        <v>Resistor_SMD:R_0603_1608Metric</v>
      </c>
      <c r="L17" s="17" t="str">
        <v>YAGEO</v>
      </c>
    </row>
    <row r="18" ht="46" customHeight="1">
      <c r="A18" s="17" t="str">
        <v>RC0603FR-074K7L</v>
      </c>
      <c r="B18" s="17" t="str">
        <v>4.7k</v>
      </c>
      <c r="C18" s="19" t="n">
        <v>1</v>
      </c>
      <c r="D18" s="19" t="n">
        <v>0</v>
      </c>
      <c r="E18" s="19" t="n">
        <v>1</v>
      </c>
      <c r="F18" s="19" t="n">
        <f>SUM(C18:E18)</f>
        <v>2</v>
      </c>
      <c r="G18" s="17" t="str">
        <v>each</v>
      </c>
      <c r="H18" s="20" t="str">
        <v>DigiKey</v>
      </c>
      <c r="I18" s="17" t="str">
        <v>Exact MPN on course v3 list. Confirm allocated quantity; purchase only a shortfall.</v>
      </c>
      <c r="J18" s="17" t="str">
        <v>R2</v>
      </c>
      <c r="K18" s="17" t="str">
        <v>Resistor_SMD:R_0603_1608Metric</v>
      </c>
      <c r="L18" s="17" t="str">
        <v>YAGEO</v>
      </c>
    </row>
    <row r="19" ht="46" customHeight="1">
      <c r="A19" s="17" t="str">
        <v>Header 1x03 / 2.54 mm / vertical</v>
      </c>
      <c r="B19" s="17" t="str">
        <v>Sense test points; Rail / PG / GND; 3.3V TTL UART</v>
      </c>
      <c r="C19" s="19" t="n">
        <v>6</v>
      </c>
      <c r="D19" s="19" t="n">
        <v>0</v>
      </c>
      <c r="E19" s="19" t="n">
        <v>3</v>
      </c>
      <c r="F19" s="19" t="n">
        <f>SUM(C19:E19)</f>
        <v>9</v>
      </c>
      <c r="G19" s="17" t="str">
        <v>each</v>
      </c>
      <c r="H19" s="20" t="str">
        <v>Course stock</v>
      </c>
      <c r="I19" s="17" t="str">
        <v>Course v3 generic header. Confirm row/pin geometry and allocated quantity. Buy only a shortfall from DigiKey/Mouser.</v>
      </c>
      <c r="J19" s="17" t="str">
        <v>J1 J42 J43 J44 J502 J602</v>
      </c>
      <c r="K19" s="17" t="str">
        <v>Connector_PinHeader_2.54mm:PinHeader_1x03_P2.54mm_Vertical</v>
      </c>
      <c r="L19" s="17" t="str">
        <v>Unspecified</v>
      </c>
    </row>
    <row r="20" ht="46" customHeight="1">
      <c r="A20" s="17" t="str">
        <v>ACS712ELCTR-05B-T</v>
      </c>
      <c r="B20" s="17" t="str">
        <v>ACS712ELCTR-05B-T</v>
      </c>
      <c r="C20" s="19" t="n">
        <v>2</v>
      </c>
      <c r="D20" s="19" t="n">
        <v>0</v>
      </c>
      <c r="E20" s="19" t="n">
        <v>1</v>
      </c>
      <c r="F20" s="19" t="n">
        <f>SUM(C20:E20)</f>
        <v>3</v>
      </c>
      <c r="G20" s="17" t="str">
        <v>each</v>
      </c>
      <c r="H20" s="20" t="str">
        <v>DigiKey</v>
      </c>
      <c r="I20" s="17" t="str">
        <v>Exact MPN on course v3 list. Confirm allocated quantity; purchase only a shortfall.</v>
      </c>
      <c r="J20" s="17" t="str">
        <v>U2 U3</v>
      </c>
      <c r="K20" s="17" t="str">
        <v>Package_SO:SOIC-8_3.9x4.9mm_P1.27mm</v>
      </c>
      <c r="L20" s="17" t="str">
        <v>Allegro MicroSystems</v>
      </c>
    </row>
    <row r="21" ht="46" customHeight="1">
      <c r="A21" s="17" t="str">
        <v>GCM1885C2A102FA16D</v>
      </c>
      <c r="B21" s="17" t="str">
        <v>1n</v>
      </c>
      <c r="C21" s="19" t="n">
        <v>2</v>
      </c>
      <c r="D21" s="19" t="n">
        <v>0</v>
      </c>
      <c r="E21" s="19" t="n">
        <v>1</v>
      </c>
      <c r="F21" s="19" t="n">
        <f>SUM(C21:E21)</f>
        <v>3</v>
      </c>
      <c r="G21" s="17" t="str">
        <v>each</v>
      </c>
      <c r="H21" s="20" t="str">
        <v>DigiKey</v>
      </c>
      <c r="I21" s="17" t="str">
        <v>Exact MPN on course v3 list. Confirm allocated quantity; purchase only a shortfall.</v>
      </c>
      <c r="J21" s="17" t="str">
        <v>C4 C7</v>
      </c>
      <c r="K21" s="17" t="str">
        <v>Capacitor_SMD:C_0603_1608Metric</v>
      </c>
      <c r="L21" s="17" t="str">
        <v>Murata</v>
      </c>
    </row>
    <row r="22" ht="46" customHeight="1">
      <c r="A22" s="17" t="str">
        <v>ERJ-3EKF1001V</v>
      </c>
      <c r="B22" s="17" t="str">
        <v>1k</v>
      </c>
      <c r="C22" s="19" t="n">
        <v>14</v>
      </c>
      <c r="D22" s="19" t="n">
        <v>0</v>
      </c>
      <c r="E22" s="19" t="n">
        <v>1</v>
      </c>
      <c r="F22" s="19" t="n">
        <f>SUM(C22:E22)</f>
        <v>15</v>
      </c>
      <c r="G22" s="17" t="str">
        <v>each</v>
      </c>
      <c r="H22" s="20" t="str">
        <v>DigiKey</v>
      </c>
      <c r="I22" s="17" t="str">
        <v>Exact MPN on course v3 list. Confirm allocated quantity; purchase only a shortfall.</v>
      </c>
      <c r="J22" s="17" t="str">
        <v>R5 R8 R510 R511 R512 R513 R610 R611 R612 R613 R710 R711 R712 R713</v>
      </c>
      <c r="K22" s="17" t="str">
        <v>Resistor_SMD:R_0603_1608Metric</v>
      </c>
      <c r="L22" s="17" t="str">
        <v>Panasonic</v>
      </c>
    </row>
    <row r="23" ht="46" customHeight="1">
      <c r="A23" s="17" t="str">
        <v>RC0603FR-0747KL</v>
      </c>
      <c r="B23" s="17" t="str">
        <v>47k</v>
      </c>
      <c r="C23" s="19" t="n">
        <v>2</v>
      </c>
      <c r="D23" s="19" t="n">
        <v>0</v>
      </c>
      <c r="E23" s="19" t="n">
        <v>1</v>
      </c>
      <c r="F23" s="19" t="n">
        <f>SUM(C23:E23)</f>
        <v>3</v>
      </c>
      <c r="G23" s="17" t="str">
        <v>each</v>
      </c>
      <c r="H23" s="20" t="str">
        <v>DigiKey</v>
      </c>
      <c r="I23" s="17" t="str">
        <v>Exact MPN on course v3 list. Confirm allocated quantity; purchase only a shortfall.</v>
      </c>
      <c r="J23" s="17" t="str">
        <v>R401 R412</v>
      </c>
      <c r="K23" s="17" t="str">
        <v>Resistor_SMD:R_0603_1608Metric</v>
      </c>
      <c r="L23" s="17" t="str">
        <v>YAGEO</v>
      </c>
    </row>
    <row r="24" ht="46" customHeight="1">
      <c r="A24" s="17" t="str">
        <v>TPS564252DRLR</v>
      </c>
      <c r="B24" s="17" t="str">
        <v>TPS564252DRLR</v>
      </c>
      <c r="C24" s="19" t="n">
        <v>3</v>
      </c>
      <c r="D24" s="19" t="n">
        <v>0</v>
      </c>
      <c r="E24" s="19" t="n">
        <v>1</v>
      </c>
      <c r="F24" s="19" t="n">
        <f>SUM(C24:E24)</f>
        <v>4</v>
      </c>
      <c r="G24" s="17" t="str">
        <v>each</v>
      </c>
      <c r="H24" s="20" t="str">
        <v>DigiKey</v>
      </c>
      <c r="I24" s="17" t="str">
        <v>Exact MPN on course v3 list. Confirm allocated quantity; purchase only a shortfall.</v>
      </c>
      <c r="J24" s="17" t="str">
        <v>U40 U41 U42</v>
      </c>
      <c r="K24" s="17" t="str">
        <v>Package_TO_SOT_SMD:SOT-563</v>
      </c>
      <c r="L24" s="17" t="str">
        <v>Texas Instruments</v>
      </c>
    </row>
    <row r="25" ht="46" customHeight="1">
      <c r="A25" s="17" t="str">
        <v>SDCHA1V8040-4R7-R</v>
      </c>
      <c r="B25" s="17" t="str">
        <v>4.7uH / 5.8A</v>
      </c>
      <c r="C25" s="19" t="n">
        <v>3</v>
      </c>
      <c r="D25" s="19" t="n">
        <v>0</v>
      </c>
      <c r="E25" s="19" t="n">
        <v>1</v>
      </c>
      <c r="F25" s="19" t="n">
        <f>SUM(C25:E25)</f>
        <v>4</v>
      </c>
      <c r="G25" s="17" t="str">
        <v>each</v>
      </c>
      <c r="H25" s="20" t="str">
        <v>DigiKey</v>
      </c>
      <c r="I25" s="17" t="str">
        <v>Exact MPN on course v3 list. Confirm allocated quantity; purchase only a shortfall.</v>
      </c>
      <c r="J25" s="17" t="str">
        <v>L1 L2 L3</v>
      </c>
      <c r="K25" s="17" t="str">
        <v>Lab4_Power:Eaton_SDCHA1V8040</v>
      </c>
      <c r="L25" s="17" t="str">
        <v>Eaton</v>
      </c>
    </row>
    <row r="26" ht="46" customHeight="1">
      <c r="A26" s="17" t="str">
        <v>GRM219R61C226ME15L</v>
      </c>
      <c r="B26" s="17" t="str">
        <v>22u / 16V; 22u /16V</v>
      </c>
      <c r="C26" s="19" t="n">
        <v>7</v>
      </c>
      <c r="D26" s="19" t="n">
        <v>0</v>
      </c>
      <c r="E26" s="19" t="n">
        <v>2</v>
      </c>
      <c r="F26" s="19" t="n">
        <f>SUM(C26:E26)</f>
        <v>9</v>
      </c>
      <c r="G26" s="17" t="str">
        <v>each</v>
      </c>
      <c r="H26" s="20" t="str">
        <v>DigiKey</v>
      </c>
      <c r="I26" s="17" t="str">
        <v>Exact MPN on course v3 list. Confirm allocated quantity; purchase only a shortfall.</v>
      </c>
      <c r="J26" s="17" t="str">
        <v>C412 C413 C422 C423 C432 C433 C700</v>
      </c>
      <c r="K26" s="17" t="str">
        <v>Capacitor_SMD:C_0805_2012Metric</v>
      </c>
      <c r="L26" s="17" t="str">
        <v>Murata</v>
      </c>
    </row>
    <row r="27" ht="46" customHeight="1">
      <c r="A27" s="17" t="str">
        <v>C0603C220J1GACTU</v>
      </c>
      <c r="B27" s="17" t="str">
        <v>22p C0G</v>
      </c>
      <c r="C27" s="19" t="n">
        <v>3</v>
      </c>
      <c r="D27" s="19" t="n">
        <v>0</v>
      </c>
      <c r="E27" s="19" t="n">
        <v>1</v>
      </c>
      <c r="F27" s="19" t="n">
        <f>SUM(C27:E27)</f>
        <v>4</v>
      </c>
      <c r="G27" s="17" t="str">
        <v>each</v>
      </c>
      <c r="H27" s="20" t="str">
        <v>DigiKey</v>
      </c>
      <c r="I27" s="17" t="str">
        <v>Exact MPN on course v3 list. Confirm allocated quantity; purchase only a shortfall.</v>
      </c>
      <c r="J27" s="17" t="str">
        <v>C414 C424 C434</v>
      </c>
      <c r="K27" s="17" t="str">
        <v>Capacitor_SMD:C_0603_1608Metric</v>
      </c>
      <c r="L27" s="17" t="str">
        <v>KEMET</v>
      </c>
    </row>
    <row r="28" ht="46" customHeight="1">
      <c r="A28" s="17" t="str">
        <v>STM32F401RET6TR</v>
      </c>
      <c r="B28" s="17" t="str">
        <v>STM32F401RET6TR</v>
      </c>
      <c r="C28" s="19" t="n">
        <v>2</v>
      </c>
      <c r="D28" s="19" t="n">
        <v>0</v>
      </c>
      <c r="E28" s="19" t="n">
        <v>1</v>
      </c>
      <c r="F28" s="19" t="n">
        <f>SUM(C28:E28)</f>
        <v>3</v>
      </c>
      <c r="G28" s="17" t="str">
        <v>each</v>
      </c>
      <c r="H28" s="20" t="str">
        <v>DigiKey</v>
      </c>
      <c r="I28" s="17" t="str">
        <v>Exact MPN on course v3 list. Confirm allocated quantity; purchase only a shortfall.</v>
      </c>
      <c r="J28" s="17" t="str">
        <v>U50 U60</v>
      </c>
      <c r="K28" s="17" t="str">
        <v>Package_QFP:LQFP-64_10x10mm_P0.5mm</v>
      </c>
      <c r="L28" s="17" t="str">
        <v>STMicroelectronics</v>
      </c>
    </row>
    <row r="29" ht="46" customHeight="1">
      <c r="A29" s="17" t="str">
        <v>GRM21BR71C475KE51L</v>
      </c>
      <c r="B29" s="17" t="str">
        <v>4.7u VDD bulk; 4.7u VCAP1</v>
      </c>
      <c r="C29" s="19" t="n">
        <v>4</v>
      </c>
      <c r="D29" s="19" t="n">
        <v>0</v>
      </c>
      <c r="E29" s="19" t="n">
        <v>2</v>
      </c>
      <c r="F29" s="19" t="n">
        <f>SUM(C29:E29)</f>
        <v>6</v>
      </c>
      <c r="G29" s="17" t="str">
        <v>each</v>
      </c>
      <c r="H29" s="20" t="str">
        <v>DigiKey</v>
      </c>
      <c r="I29" s="17" t="str">
        <v>Exact MPN on course v3 list. Confirm allocated quantity; purchase only a shortfall.</v>
      </c>
      <c r="J29" s="17" t="str">
        <v>C505 C605 C506 C606</v>
      </c>
      <c r="K29" s="17" t="str">
        <v>Capacitor_SMD:C_0805_2012Metric</v>
      </c>
      <c r="L29" s="17" t="str">
        <v>Murata</v>
      </c>
    </row>
    <row r="30" ht="46" customHeight="1">
      <c r="A30" s="17" t="str">
        <v>742863160</v>
      </c>
      <c r="B30" s="17" t="str">
        <v>600R @100MHz</v>
      </c>
      <c r="C30" s="19" t="n">
        <v>2</v>
      </c>
      <c r="D30" s="19" t="n">
        <v>0</v>
      </c>
      <c r="E30" s="19" t="n">
        <v>1</v>
      </c>
      <c r="F30" s="19" t="n">
        <f>SUM(C30:E30)</f>
        <v>3</v>
      </c>
      <c r="G30" s="17" t="str">
        <v>each</v>
      </c>
      <c r="H30" s="20" t="str">
        <v>DigiKey</v>
      </c>
      <c r="I30" s="17" t="str">
        <v>Exact MPN on course v3 list. Confirm allocated quantity; purchase only a shortfall.</v>
      </c>
      <c r="J30" s="17" t="str">
        <v>FB50 FB60</v>
      </c>
      <c r="K30" s="17" t="str">
        <v>Inductor_SMD:L_0603_1608Metric</v>
      </c>
      <c r="L30" s="17" t="str">
        <v>Wurth Elektronik</v>
      </c>
    </row>
    <row r="31" ht="46" customHeight="1">
      <c r="A31" s="17" t="str">
        <v>SWT0210-045026GSA</v>
      </c>
      <c r="B31" s="17" t="str">
        <v>SWT0210-045026GSA</v>
      </c>
      <c r="C31" s="19" t="n">
        <v>5</v>
      </c>
      <c r="D31" s="19" t="n">
        <v>0</v>
      </c>
      <c r="E31" s="19" t="n">
        <v>1</v>
      </c>
      <c r="F31" s="19" t="n">
        <f>SUM(C31:E31)</f>
        <v>6</v>
      </c>
      <c r="G31" s="17" t="str">
        <v>each</v>
      </c>
      <c r="H31" s="20" t="str">
        <v>DigiKey</v>
      </c>
      <c r="I31" s="17" t="str">
        <v>Exact MPN on course v3 list. Confirm allocated quantity; purchase only a shortfall.</v>
      </c>
      <c r="J31" s="17" t="str">
        <v>SW50 SW51 SW60 SW61 SW70</v>
      </c>
      <c r="K31" s="17" t="str">
        <v>Lab4_Switches:GCT_SWT0210_4.5x4.5mm</v>
      </c>
      <c r="L31" s="17" t="str">
        <v>GCT</v>
      </c>
    </row>
    <row r="32" ht="46" customHeight="1">
      <c r="A32" s="17" t="str">
        <v>Header 1x06 / 2.54 mm / vertical</v>
      </c>
      <c r="B32" s="17" t="str">
        <v>SWD (2.54mm)</v>
      </c>
      <c r="C32" s="19" t="n">
        <v>2</v>
      </c>
      <c r="D32" s="19" t="n">
        <v>0</v>
      </c>
      <c r="E32" s="19" t="n">
        <v>1</v>
      </c>
      <c r="F32" s="19" t="n">
        <f>SUM(C32:E32)</f>
        <v>3</v>
      </c>
      <c r="G32" s="17" t="str">
        <v>each</v>
      </c>
      <c r="H32" s="20" t="str">
        <v>Course stock</v>
      </c>
      <c r="I32" s="17" t="str">
        <v>Course v3 generic header. Confirm row/pin geometry and allocated quantity. Buy only a shortfall from DigiKey/Mouser.</v>
      </c>
      <c r="J32" s="17" t="str">
        <v>J501 J601</v>
      </c>
      <c r="K32" s="17" t="str">
        <v>Connector_PinHeader_2.54mm:PinHeader_1x06_P2.54mm_Vertical</v>
      </c>
      <c r="L32" s="17" t="str">
        <v>Unspecified</v>
      </c>
    </row>
    <row r="33" ht="46" customHeight="1">
      <c r="A33" s="17" t="str">
        <v>LTST-C190GKT</v>
      </c>
      <c r="B33" s="17" t="str">
        <v>STATUS green</v>
      </c>
      <c r="C33" s="19" t="n">
        <v>3</v>
      </c>
      <c r="D33" s="19" t="n">
        <v>0</v>
      </c>
      <c r="E33" s="19" t="n">
        <v>1</v>
      </c>
      <c r="F33" s="19" t="n">
        <f>SUM(C33:E33)</f>
        <v>4</v>
      </c>
      <c r="G33" s="17" t="str">
        <v>each</v>
      </c>
      <c r="H33" s="20" t="str">
        <v>DigiKey</v>
      </c>
      <c r="I33" s="17" t="str">
        <v>Exact MPN on course v3 list. Confirm allocated quantity; purchase only a shortfall.</v>
      </c>
      <c r="J33" s="17" t="str">
        <v>D510 D610 D710</v>
      </c>
      <c r="K33" s="17" t="str">
        <v>LED_SMD:LED_0603_1608Metric</v>
      </c>
      <c r="L33" s="17" t="str">
        <v>Lite-On</v>
      </c>
    </row>
    <row r="34" ht="46" customHeight="1">
      <c r="A34" s="17" t="str">
        <v>LTST-C190KRKT</v>
      </c>
      <c r="B34" s="17" t="str">
        <v>ERR red</v>
      </c>
      <c r="C34" s="19" t="n">
        <v>3</v>
      </c>
      <c r="D34" s="19" t="n">
        <v>0</v>
      </c>
      <c r="E34" s="19" t="n">
        <v>1</v>
      </c>
      <c r="F34" s="19" t="n">
        <f>SUM(C34:E34)</f>
        <v>4</v>
      </c>
      <c r="G34" s="17" t="str">
        <v>each</v>
      </c>
      <c r="H34" s="20" t="str">
        <v>DigiKey</v>
      </c>
      <c r="I34" s="17" t="str">
        <v>Exact MPN on course v3 list. Confirm allocated quantity; purchase only a shortfall.</v>
      </c>
      <c r="J34" s="17" t="str">
        <v>D511 D611 D711</v>
      </c>
      <c r="K34" s="17" t="str">
        <v>LED_SMD:LED_0603_1608Metric</v>
      </c>
      <c r="L34" s="17" t="str">
        <v>Lite-On</v>
      </c>
    </row>
    <row r="35" ht="46" customHeight="1">
      <c r="A35" s="17" t="str">
        <v>LTST-C190KSKT</v>
      </c>
      <c r="B35" s="17" t="str">
        <v>DEG_A yellow; DEG_B yellow</v>
      </c>
      <c r="C35" s="19" t="n">
        <v>6</v>
      </c>
      <c r="D35" s="19" t="n">
        <v>0</v>
      </c>
      <c r="E35" s="19" t="n">
        <v>2</v>
      </c>
      <c r="F35" s="19" t="n">
        <f>SUM(C35:E35)</f>
        <v>8</v>
      </c>
      <c r="G35" s="17" t="str">
        <v>each</v>
      </c>
      <c r="H35" s="20" t="str">
        <v>DigiKey</v>
      </c>
      <c r="I35" s="17" t="str">
        <v>Exact MPN on course v3 list. Confirm allocated quantity; purchase only a shortfall.</v>
      </c>
      <c r="J35" s="17" t="str">
        <v>D512 D612 D712 D513 D613 D713</v>
      </c>
      <c r="K35" s="17" t="str">
        <v>LED_SMD:LED_0603_1608Metric</v>
      </c>
      <c r="L35" s="17" t="str">
        <v>Lite-On</v>
      </c>
    </row>
    <row r="36" ht="46" customHeight="1">
      <c r="A36" s="17" t="str">
        <v>Header 1x13 / 2.54 mm / vertical</v>
      </c>
      <c r="B36" s="17" t="str">
        <v>LAB3 rows 1-13</v>
      </c>
      <c r="C36" s="19" t="n">
        <v>3</v>
      </c>
      <c r="D36" s="19" t="n">
        <v>0</v>
      </c>
      <c r="E36" s="19" t="n">
        <v>1</v>
      </c>
      <c r="F36" s="19" t="n">
        <f>SUM(C36:E36)</f>
        <v>4</v>
      </c>
      <c r="G36" s="17" t="str">
        <v>each</v>
      </c>
      <c r="H36" s="20" t="str">
        <v>Course stock</v>
      </c>
      <c r="I36" s="17" t="str">
        <v>Course v3 generic header. Confirm row/pin geometry and allocated quantity. Buy only a shortfall from DigiKey/Mouser.</v>
      </c>
      <c r="J36" s="17" t="str">
        <v>J503 J603 J703</v>
      </c>
      <c r="K36" s="17" t="str">
        <v>Connector_PinHeader_2.54mm:PinHeader_1x13_P2.54mm_Vertical</v>
      </c>
      <c r="L36" s="17" t="str">
        <v>Unspecified</v>
      </c>
    </row>
    <row r="37" ht="46" customHeight="1">
      <c r="A37" s="17" t="str">
        <v>Header 1x08 / 2.54 mm / vertical</v>
      </c>
      <c r="B37" s="17" t="str">
        <v>Additional probes</v>
      </c>
      <c r="C37" s="19" t="n">
        <v>1</v>
      </c>
      <c r="D37" s="19" t="n">
        <v>0</v>
      </c>
      <c r="E37" s="19" t="n">
        <v>1</v>
      </c>
      <c r="F37" s="19" t="n">
        <f>SUM(C37:E37)</f>
        <v>2</v>
      </c>
      <c r="G37" s="17" t="str">
        <v>each</v>
      </c>
      <c r="H37" s="20" t="str">
        <v>Course stock</v>
      </c>
      <c r="I37" s="17" t="str">
        <v>Course v3 generic header. Confirm row/pin geometry and allocated quantity. Buy only a shortfall from DigiKey/Mouser.</v>
      </c>
      <c r="J37" s="17" t="str">
        <v>J504</v>
      </c>
      <c r="K37" s="17" t="str">
        <v>Connector_PinHeader_2.54mm:PinHeader_1x08_P2.54mm_Vertical</v>
      </c>
      <c r="L37" s="17" t="str">
        <v>Unspecified</v>
      </c>
    </row>
    <row r="38" ht="46" customHeight="1">
      <c r="A38" s="17" t="str">
        <v>Header 1x11 / 2.54 mm / vertical</v>
      </c>
      <c r="B38" s="17" t="str">
        <v>Additional probes</v>
      </c>
      <c r="C38" s="19" t="n">
        <v>1</v>
      </c>
      <c r="D38" s="19" t="n">
        <v>0</v>
      </c>
      <c r="E38" s="19" t="n">
        <v>1</v>
      </c>
      <c r="F38" s="19" t="n">
        <f>SUM(C38:E38)</f>
        <v>2</v>
      </c>
      <c r="G38" s="17" t="str">
        <v>each</v>
      </c>
      <c r="H38" s="20" t="str">
        <v>Course stock</v>
      </c>
      <c r="I38" s="17" t="str">
        <v>Course v3 generic header. Confirm row/pin geometry and allocated quantity. Buy only a shortfall from DigiKey/Mouser.</v>
      </c>
      <c r="J38" s="17" t="str">
        <v>J604</v>
      </c>
      <c r="K38" s="17" t="str">
        <v>Connector_PinHeader_2.54mm:PinHeader_1x11_P2.54mm_Vertical</v>
      </c>
      <c r="L38" s="17" t="str">
        <v>Unspecified</v>
      </c>
    </row>
    <row r="39" ht="46" customHeight="1">
      <c r="A39" s="17" t="str">
        <v>Header 1x05 / 2.54 mm / vertical</v>
      </c>
      <c r="B39" s="17" t="str">
        <v>Pi extra probes</v>
      </c>
      <c r="C39" s="19" t="n">
        <v>1</v>
      </c>
      <c r="D39" s="19" t="n">
        <v>0</v>
      </c>
      <c r="E39" s="19" t="n">
        <v>1</v>
      </c>
      <c r="F39" s="19" t="n">
        <f>SUM(C39:E39)</f>
        <v>2</v>
      </c>
      <c r="G39" s="17" t="str">
        <v>each</v>
      </c>
      <c r="H39" s="20" t="str">
        <v>Course stock</v>
      </c>
      <c r="I39" s="17" t="str">
        <v>Course v3 generic header. Confirm row/pin geometry and allocated quantity. Buy only a shortfall from DigiKey/Mouser.</v>
      </c>
      <c r="J39" s="17" t="str">
        <v>J704</v>
      </c>
      <c r="K39" s="17" t="str">
        <v>Connector_PinHeader_2.54mm:PinHeader_1x05_P2.54mm_Vertical</v>
      </c>
      <c r="L39" s="17" t="str">
        <v>Unspecified</v>
      </c>
    </row>
    <row r="40" ht="46" customHeight="1">
      <c r="A40" s="17" t="str">
        <v>Header 1x07 / 2.54 mm / vertical</v>
      </c>
      <c r="B40" s="17" t="str">
        <v>Reserved / encoder probes</v>
      </c>
      <c r="C40" s="19" t="n">
        <v>1</v>
      </c>
      <c r="D40" s="19" t="n">
        <v>0</v>
      </c>
      <c r="E40" s="19" t="n">
        <v>1</v>
      </c>
      <c r="F40" s="19" t="n">
        <f>SUM(C40:E40)</f>
        <v>2</v>
      </c>
      <c r="G40" s="17" t="str">
        <v>each</v>
      </c>
      <c r="H40" s="20" t="str">
        <v>Course stock</v>
      </c>
      <c r="I40" s="17" t="str">
        <v>Course v3 generic header. Confirm row/pin geometry and allocated quantity. Buy only a shortfall from DigiKey/Mouser.</v>
      </c>
      <c r="J40" s="17" t="str">
        <v>J605</v>
      </c>
      <c r="K40" s="17" t="str">
        <v>Connector_PinHeader_2.54mm:PinHeader_1x07_P2.54mm_Vertical</v>
      </c>
      <c r="L40" s="17" t="str">
        <v>Unspecified</v>
      </c>
    </row>
    <row r="41" ht="46" customHeight="1">
      <c r="A41" s="17" t="str">
        <v>L298N</v>
      </c>
      <c r="B41" s="17" t="str">
        <v>L298N</v>
      </c>
      <c r="C41" s="19" t="n">
        <v>1</v>
      </c>
      <c r="D41" s="19" t="n">
        <v>0</v>
      </c>
      <c r="E41" s="19" t="n">
        <v>1</v>
      </c>
      <c r="F41" s="19" t="n">
        <f>SUM(C41:E41)</f>
        <v>2</v>
      </c>
      <c r="G41" s="17" t="str">
        <v>each</v>
      </c>
      <c r="H41" s="20" t="str">
        <v>DigiKey</v>
      </c>
      <c r="I41" s="17" t="str">
        <v>Exact MPN on course v3 list. Confirm allocated quantity; purchase only a shortfall.</v>
      </c>
      <c r="J41" s="17" t="str">
        <v>U80</v>
      </c>
      <c r="K41" s="17" t="str">
        <v>Package_TO_SOT_THT:TO-220-15_P2.54x5.08mm_StaggerOdd_Lead4.58mm_Vertical</v>
      </c>
      <c r="L41" s="17" t="str">
        <v>STMicroelectronics</v>
      </c>
    </row>
    <row r="42" ht="46" customHeight="1">
      <c r="A42" s="17" t="str">
        <v>SK520B</v>
      </c>
      <c r="B42" s="17" t="str">
        <v>SK520B</v>
      </c>
      <c r="C42" s="19" t="n">
        <v>8</v>
      </c>
      <c r="D42" s="19" t="n">
        <v>0</v>
      </c>
      <c r="E42" s="19" t="n">
        <v>1</v>
      </c>
      <c r="F42" s="19" t="n">
        <f>SUM(C42:E42)</f>
        <v>9</v>
      </c>
      <c r="G42" s="17" t="str">
        <v>each</v>
      </c>
      <c r="H42" s="20" t="str">
        <v>DigiKey</v>
      </c>
      <c r="I42" s="17" t="str">
        <v>Exact MPN on course v3 list. Confirm allocated quantity; purchase only a shortfall.</v>
      </c>
      <c r="J42" s="17" t="str">
        <v>D800 D801 D802 D803 D804 D805 D806 D807</v>
      </c>
      <c r="K42" s="17" t="str">
        <v>Diode_SMD:D_SMB</v>
      </c>
      <c r="L42" s="17" t="str">
        <v>SMC Diode Solutions</v>
      </c>
    </row>
    <row r="43" ht="46" customHeight="1">
      <c r="A43" s="17" t="str">
        <v>6396BG</v>
      </c>
      <c r="B43" s="17" t="str">
        <v>L298 heatsink; hardware NOT included</v>
      </c>
      <c r="C43" s="19" t="n">
        <v>0</v>
      </c>
      <c r="D43" s="19" t="n">
        <v>1</v>
      </c>
      <c r="E43" s="19" t="n">
        <v>0</v>
      </c>
      <c r="F43" s="19" t="n">
        <f>SUM(C43:E43)</f>
        <v>1</v>
      </c>
      <c r="G43" s="17" t="str">
        <v>each</v>
      </c>
      <c r="H43" s="20" t="str">
        <v>DigiKey</v>
      </c>
      <c r="I43" s="17" t="str">
        <v>Course v3 heatsink; part accepted for preliminary review. Allocation and attachment hardware remain open.</v>
      </c>
      <c r="J43" s="17" t="str">
        <v>Not placed yet</v>
      </c>
      <c r="K43" s="17" t="str">
        <v>Must fit Multiwatt-15</v>
      </c>
      <c r="L43" s="17" t="str">
        <v>Boyd Laconia</v>
      </c>
    </row>
    <row r="44" ht="46" customHeight="1">
      <c r="A44" s="17" t="str">
        <v>FIT0587</v>
      </c>
      <c r="B44" s="17" t="str">
        <v>PH2.0-6 cable for motor/encoder adapter donor</v>
      </c>
      <c r="C44" s="19" t="n">
        <v>0</v>
      </c>
      <c r="D44" s="19" t="n">
        <v>2</v>
      </c>
      <c r="E44" s="19" t="n">
        <v>1</v>
      </c>
      <c r="F44" s="19" t="n">
        <f>SUM(C44:E44)</f>
        <v>3</v>
      </c>
      <c r="G44" s="17" t="str">
        <v>each</v>
      </c>
      <c r="H44" s="20" t="str">
        <v>DigiKey</v>
      </c>
      <c r="I44" s="17" t="str">
        <v>Exact MPN on course v3 list. Confirm allocated quantity; purchase only a shortfall.</v>
      </c>
      <c r="J44" s="17" t="str">
        <v>Off-board</v>
      </c>
      <c r="K44" s="17" t="str">
        <v>Off-board / mechanical</v>
      </c>
      <c r="L44" s="17" t="str">
        <v>DFRobot</v>
      </c>
    </row>
  </sheetData>
  <conditionalFormatting sqref="I9:I44">
    <cfRule type="containsText" dxfId="1" priority="1" operator="containsText" text="OPEN:"/>
  </conditionalFormatting>
  <hyperlinks>
    <hyperlink ref="A5" r:id="rIdBOMLink1"/>
    <hyperlink ref="B5" r:id="rIdBOMLink2"/>
    <hyperlink ref="H5" r:id="rIdBOMLink3"/>
    <hyperlink ref="H9" r:id="rIdBOMLink4"/>
    <hyperlink ref="H10" r:id="rIdBOMLink5"/>
    <hyperlink ref="H11" r:id="rIdBOMLink6"/>
    <hyperlink ref="H12" r:id="rIdBOMLink7"/>
    <hyperlink ref="H13" r:id="rIdBOMLink8"/>
    <hyperlink ref="H14" r:id="rIdBOMLink9"/>
    <hyperlink ref="H15" r:id="rIdBOMLink10"/>
    <hyperlink ref="H16" r:id="rIdBOMLink11"/>
    <hyperlink ref="H17" r:id="rIdBOMLink12"/>
    <hyperlink ref="H18" r:id="rIdBOMLink13"/>
    <hyperlink ref="H19" r:id="rIdBOMLink14"/>
    <hyperlink ref="H20" r:id="rIdBOMLink15"/>
    <hyperlink ref="H21" r:id="rIdBOMLink16"/>
    <hyperlink ref="H22" r:id="rIdBOMLink17"/>
    <hyperlink ref="H23" r:id="rIdBOMLink18"/>
    <hyperlink ref="H24" r:id="rIdBOMLink19"/>
    <hyperlink ref="H25" r:id="rIdBOMLink20"/>
    <hyperlink ref="H26" r:id="rIdBOMLink21"/>
    <hyperlink ref="H27" r:id="rIdBOMLink22"/>
    <hyperlink ref="H28" r:id="rIdBOMLink23"/>
    <hyperlink ref="H29" r:id="rIdBOMLink24"/>
    <hyperlink ref="H30" r:id="rIdBOMLink25"/>
    <hyperlink ref="H31" r:id="rIdBOMLink26"/>
    <hyperlink ref="H32" r:id="rIdBOMLink27"/>
    <hyperlink ref="H33" r:id="rIdBOMLink28"/>
    <hyperlink ref="H34" r:id="rIdBOMLink29"/>
    <hyperlink ref="H35" r:id="rIdBOMLink30"/>
    <hyperlink ref="H36" r:id="rIdBOMLink31"/>
    <hyperlink ref="H37" r:id="rIdBOMLink32"/>
    <hyperlink ref="H38" r:id="rIdBOMLink33"/>
    <hyperlink ref="H39" r:id="rIdBOMLink34"/>
    <hyperlink ref="H40" r:id="rIdBOMLink35"/>
    <hyperlink ref="H41" r:id="rIdBOMLink36"/>
    <hyperlink ref="H42" r:id="rIdBOMLink37"/>
    <hyperlink ref="H43" r:id="rIdBOMLink38"/>
    <hyperlink ref="H44" r:id="rIdBOMLink39"/>
  </hyperlinks>
  <pageMargins left="0.7" right="0.7" top="0.75" bottom="0.75" header="0.3" footer="0.3"/>
  <tableParts count="1">
    <tablePart r:id="R7225dc71281b470c"/>
  </tableParts>
</worksheet>
</file>
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12685fdd694385" /></Relationships>
</file>

<file path=xl/workbook.xml><?xml version="1.0" encoding="utf-8"?>
<x:workbook xmlns:x="http://schemas.openxmlformats.org/spreadsheetml/2006/main">
  <x:sheets>
    <x:sheet xmlns:r="http://schemas.openxmlformats.org/officeDocument/2006/relationships" name="Specialty parts" sheetId="1" r:id="R0025e2d2e06c451b"/>
    <x:sheet xmlns:r="http://schemas.openxmlformats.org/officeDocument/2006/relationships" name="Common parts" sheetId="2" r:id="R3b47d931610a4e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253246"/>
      <x:name val="Arial"/>
    </x:font>
    <x:font>
      <x:b/>
      <x:sz val="10"/>
      <x:color rgb="FFFFFFFF"/>
      <x:name val="Arial"/>
    </x:font>
    <x:font>
      <x:b/>
      <x:sz val="14"/>
      <x:color rgb="FF24374B"/>
      <x:name val="Arial"/>
    </x:font>
    <x:font>
      <x:sz val="10"/>
      <x:color rgb="FF465569"/>
      <x:name val="Arial"/>
    </x:font>
    <x:font>
      <x:i/>
      <x:sz val="10"/>
      <x:color rgb="FF465569"/>
      <x:name val="Arial"/>
    </x:font>
    <x:font>
      <x:u val="single"/>
      <x:sz val="10"/>
      <x:color rgb="FF145DA0"/>
      <x:name val="Arial"/>
    </x:font>
  </x:fonts>
  <x:fills count="5">
    <x:fill>
      <x:patternFill patternType="none"/>
    </x:fill>
    <x:fill>
      <x:patternFill patternType="gray125"/>
    </x:fill>
    <x:fill>
      <x:patternFill patternType="solid">
        <x:fgColor rgb="FFFFF4CE"/>
      </x:patternFill>
    </x:fill>
    <x:fill>
      <x:patternFill patternType="solid">
        <x:fgColor rgb="FF24374B"/>
      </x:patternFill>
    </x:fill>
    <x:fill>
      <x:patternFill patternType="solid">
        <x:fgColor rgb="FFFFFFFF"/>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1" fillId="2"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1" fillId="2" borderId="0" xfId="0" applyNumberFormat="1" applyFont="1" applyFill="1" applyBorder="1" applyAlignment="1">
      <x:alignment horizontal="right" vertical="center" wrapText="1"/>
    </x:xf>
    <x:xf numFmtId="0" fontId="6" fillId="2"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right" vertical="center" wrapText="1"/>
    </x:xf>
    <x:xf numFmtId="0" fontId="6" fillId="4" borderId="0" xfId="0" applyNumberFormat="1" applyFont="1" applyFill="1" applyBorder="1" applyAlignment="1">
      <x:alignment vertical="center" wrapText="1"/>
    </x:xf>
  </x:cellXfs>
  <x:cellStyles count="1">
    <x:cellStyle name="Normal" xfId="0"/>
  </x:cellStyles>
  <x:dxfs count="2">
    <x:dxf>
      <x:font>
        <x:b/>
        <x:color rgb="FF7A3400"/>
      </x:font>
      <x:fill>
        <x:patternFill patternType="solid">
          <x:bgColor rgb="FFFFE2B6"/>
        </x:patternFill>
      </x:fill>
    </x:dxf>
    <x:dxf>
      <x:font>
        <x:b/>
        <x:color rgb="FF7A3400"/>
      </x:font>
      <x:fill>
        <x:patternFill patternType="solid">
          <x:bgColor rgb="FFFFE2B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071e11fb1140cf" /><Relationship Type="http://schemas.openxmlformats.org/officeDocument/2006/relationships/theme" Target="/xl/theme/theme1.xml" Id="R620067b8496d4bb6" /><Relationship Type="http://schemas.openxmlformats.org/officeDocument/2006/relationships/sharedStrings" Target="/xl/sharedStrings.xml" Id="R1621888004d44f28" /><Relationship Type="http://schemas.openxmlformats.org/officeDocument/2006/relationships/worksheet" Target="/xl/worksheets/sheet1.xml" Id="R0025e2d2e06c451b" /><Relationship Type="http://schemas.openxmlformats.org/officeDocument/2006/relationships/worksheet" Target="/xl/worksheets/sheet2.xml" Id="R3b47d931610a4e65" /></Relationships>
</file>

<file path=xl/tables/table1.xml><?xml version="1.0" encoding="utf-8"?>
<x:table xmlns:x="http://schemas.openxmlformats.org/spreadsheetml/2006/main" id="1" name="SpecialtyBOM" displayName="SpecialtyBOM" ref="A8:L62" headerRowCount="1" totalsRowCount="0" totalsRowShown="0">
  <x:autoFilter ref="A8:L62"/>
  <x:tableColumns count="12">
    <x:tableColumn id="1" name="Part / MPN / specification"/>
    <x:tableColumn id="2" name="Description"/>
    <x:tableColumn id="3" name="In design"/>
    <x:tableColumn id="4" name="Off-board"/>
    <x:tableColumn id="5" name="Spares"/>
    <x:tableColumn id="6" name="Total requested"/>
    <x:tableColumn id="7" name="Unit"/>
    <x:tableColumn id="8" name="Supplier / source"/>
    <x:tableColumn id="9" name="TA review / purchasing note"/>
    <x:tableColumn id="10" name="References"/>
    <x:tableColumn id="11" name="Footprint / package"/>
    <x:tableColumn id="12" name="Manufacturer"/>
  </x:tableColumns>
  <x:tableStyleInfo name="TableStyleMedium2" showFirstColumn="0" showLastColumn="0" showRowStripes="1" showColumnStripes="0"/>
</x:table>
</file>

<file path=xl/tables/table2.xml><?xml version="1.0" encoding="utf-8"?>
<x:table xmlns:x="http://schemas.openxmlformats.org/spreadsheetml/2006/main" id="2" name="CommonBOM" displayName="CommonBOM" ref="A8:L44" headerRowCount="1" totalsRowCount="0" totalsRowShown="0">
  <x:autoFilter ref="A8:L44"/>
  <x:tableColumns count="12">
    <x:tableColumn id="1" name="Part / MPN / specification"/>
    <x:tableColumn id="2" name="Description"/>
    <x:tableColumn id="3" name="In design"/>
    <x:tableColumn id="4" name="Off-board"/>
    <x:tableColumn id="5" name="Spares"/>
    <x:tableColumn id="6" name="Total requested"/>
    <x:tableColumn id="7" name="Unit"/>
    <x:tableColumn id="8" name="Supplier / source"/>
    <x:tableColumn id="9" name="TA review / purchasing note"/>
    <x:tableColumn id="10" name="References"/>
    <x:tableColumn id="11" name="Footprint / package"/>
    <x:tableColumn id="12" name="Manufactur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b2db65750126449c" /><ns0:Relationship Id="rIdBOMLink1" Type="http://schemas.openxmlformats.org/officeDocument/2006/relationships/hyperlink" Target="https://github.com/fmarples/18649_team4/blob/lab4/lab4/Preliminary-BOM.csv" TargetMode="External" /><ns0:Relationship Id="rIdBOMLink2" Type="http://schemas.openxmlformats.org/officeDocument/2006/relationships/hyperlink" Target="https://18449-f26.slack.com/archives/C0BRYGTD4HH/p1792789284321879" TargetMode="External" /><ns0:Relationship Id="rIdBOMLink3" Type="http://schemas.openxmlformats.org/officeDocument/2006/relationships/hyperlink" Target="https://18449-f26.slack.com/archives/C0BRYGTD4HH/p1793052274317539" TargetMode="External" /><ns0:Relationship Id="rIdBOMLink4" Type="http://schemas.openxmlformats.org/officeDocument/2006/relationships/hyperlink" Target="https://www.digikey.com/en/products/detail/murata-electronics/GRM1885C1H180JA01D/586919" TargetMode="External" /><ns0:Relationship Id="rIdBOMLink5" Type="http://schemas.openxmlformats.org/officeDocument/2006/relationships/hyperlink" Target="https://www.digikey.com/en/products/detail/vishay-dale/WSL2512R0100FEA/712561" TargetMode="External" /><ns0:Relationship Id="rIdBOMLink6" Type="http://schemas.openxmlformats.org/officeDocument/2006/relationships/hyperlink" Target="https://www.digikey.com/en/products/detail/texas-instruments/INA180A2IDBVR/8132987" TargetMode="External" /><ns0:Relationship Id="rIdBOMLink7" Type="http://schemas.openxmlformats.org/officeDocument/2006/relationships/hyperlink" Target="https://www.digikey.com/en/products/detail/hirose-electric-co-ltd/DF63M-2P-3-96DSA/9695031" TargetMode="External" /><ns0:Relationship Id="rIdBOMLink8" Type="http://schemas.openxmlformats.org/officeDocument/2006/relationships/hyperlink" Target="https://www.digikey.com/en/products/detail/keystone-electronics/3568/2137306" TargetMode="External" /><ns0:Relationship Id="rIdBOMLink9" Type="http://schemas.openxmlformats.org/officeDocument/2006/relationships/hyperlink" Target="https://www.digikey.com/en/products/detail/diodes-incorporated/DMPH3010LK3-13/7352990" TargetMode="External" /><ns0:Relationship Id="rIdBOMLink10" Type="http://schemas.openxmlformats.org/officeDocument/2006/relationships/hyperlink" Target="https://www.digikey.com/en/products/detail/diotec-semiconductor/BZT52C12/22189788" TargetMode="External" /><ns0:Relationship Id="rIdBOMLink11" Type="http://schemas.openxmlformats.org/officeDocument/2006/relationships/hyperlink" Target="https://www.digikey.com/en/products/detail/nichicon/UPW1E102MHD/589572" TargetMode="External" /><ns0:Relationship Id="rIdBOMLink12" Type="http://schemas.openxmlformats.org/officeDocument/2006/relationships/hyperlink" Target="https://www.digikey.com/en/products/detail/murata-electronics/GRM32ER61E226KE15L/965903" TargetMode="External" /><ns0:Relationship Id="rIdBOMLink13" Type="http://schemas.openxmlformats.org/officeDocument/2006/relationships/hyperlink" Target="https://www.digikey.com/en/products/detail/murata-electronics/GRM188R71H104KA93D/587143" TargetMode="External" /><ns0:Relationship Id="rIdBOMLink14" Type="http://schemas.openxmlformats.org/officeDocument/2006/relationships/hyperlink" Target="https://www.digikey.com/en/products/detail/yageo/RC0603FR-07100KL/726889" TargetMode="External" /><ns0:Relationship Id="rIdBOMLink15" Type="http://schemas.openxmlformats.org/officeDocument/2006/relationships/hyperlink" Target="https://www.digikey.com/en/products/detail/yageo/RT0603BRD0710KL/4340589" TargetMode="External" /><ns0:Relationship Id="rIdBOMLink16" Type="http://schemas.openxmlformats.org/officeDocument/2006/relationships/hyperlink" Target="https://www.digikey.com/en/products/detail/yageo/RT0603BRD0775KL/5139178 ; alternate: https://www.digikey.com/en/products/detail/susumu/RG1608P-753-B-T5/1240628" TargetMode="External" /><ns0:Relationship Id="rIdBOMLink17" Type="http://schemas.openxmlformats.org/officeDocument/2006/relationships/hyperlink" Target="https://www.digikey.com/en/products/detail/yageo/RC0603FR-0733KL/727159" TargetMode="External" /><ns0:Relationship Id="rIdBOMLink18" Type="http://schemas.openxmlformats.org/officeDocument/2006/relationships/hyperlink" Target="https://www.digikey.com/en/products/detail/yageo/RT0603BRD0745K3L/5139111" TargetMode="External" /><ns0:Relationship Id="rIdBOMLink19" Type="http://schemas.openxmlformats.org/officeDocument/2006/relationships/hyperlink" Target="https://www.digikey.com/en/products/detail/yageo/RC0603FR-0722KL/730003 ; alternate: https://www.digikey.com/en/products/detail/panasonic-industry/ERJ-3EKF2202V/1746336" TargetMode="External" /><ns0:Relationship Id="rIdBOMLink20" Type="http://schemas.openxmlformats.org/officeDocument/2006/relationships/hyperlink" Target="https://www.digikey.com/en/products/detail/yageo/CC0603JRX7R7BB105/7164369" TargetMode="External" /><ns0:Relationship Id="rIdBOMLink21" Type="http://schemas.openxmlformats.org/officeDocument/2006/relationships/hyperlink" Target="https://www.mouser.co.uk/en/ProductDetail/Samtec/ESQ-118-44-L-D?qs=PB6%2FjmICvI2MYbzEyjh0rw%3D%3D" TargetMode="External" /><ns0:Relationship Id="rIdBOMLink22" Type="http://schemas.openxmlformats.org/officeDocument/2006/relationships/hyperlink" Target="https://www.digikey.com/en/products/detail/panasonic-electronic-components/EEU-FR1E471/2433553" TargetMode="External" /><ns0:Relationship Id="rIdBOMLink23" Type="http://schemas.openxmlformats.org/officeDocument/2006/relationships/hyperlink" Target="https://www.digikey.com/en/products/detail/vishay-dale/CRCW0603100RFKEA/1174554" TargetMode="External" /><ns0:Relationship Id="rIdBOMLink24" Type="http://schemas.openxmlformats.org/officeDocument/2006/relationships/hyperlink" Target="https://www.digikey.com/en/products/detail/texas-instruments/SN74LVC14APW/1591867" TargetMode="External" /><ns0:Relationship Id="rIdBOMLink25" Type="http://schemas.openxmlformats.org/officeDocument/2006/relationships/hyperlink" Target="https://www.digikey.com/en/products/detail/hirose-electric-co-ltd/DF63M-3P-3-96DSA/9695039" TargetMode="External" /><ns0:Relationship Id="rIdBOMLink26" Type="http://schemas.openxmlformats.org/officeDocument/2006/relationships/hyperlink" Target="https://www.digikey.com/en/products/detail/vishay-dale/CRCW06032K20FKEA/1174704" TargetMode="External" /><ns0:Relationship Id="rIdBOMLink27" Type="http://schemas.openxmlformats.org/officeDocument/2006/relationships/hyperlink" Target="https://www.digikey.com/en/products/detail/vishay-dale/CRCW0603100KFKEA/1180038" TargetMode="External" /><ns0:Relationship Id="rIdBOMLink28" Type="http://schemas.openxmlformats.org/officeDocument/2006/relationships/hyperlink" Target="https://www.digikey.com/en/products/detail/diodes-incorporated/MMBT3904-7-F/814494" TargetMode="External" /><ns0:Relationship Id="rIdBOMLink29" Type="http://schemas.openxmlformats.org/officeDocument/2006/relationships/hyperlink" Target="https://www.digikey.com/en/products/detail/vishay-dale/CRCW0603220RFKEA/1174590" TargetMode="External" /><ns0:Relationship Id="rIdBOMLink30" Type="http://schemas.openxmlformats.org/officeDocument/2006/relationships/hyperlink" Target="https://www.digikey.com/en/products/detail/samtec-inc/SNT-100-BK-T-H/2345103" TargetMode="External" /><ns0:Relationship Id="rIdBOMLink31" Type="http://schemas.openxmlformats.org/officeDocument/2006/relationships/hyperlink" Target="https://www.digikey.com/en/products/detail/littelfuse-inc/0297010-L/3305626" TargetMode="External" /><ns0:Relationship Id="rIdBOMLink32" Type="http://schemas.openxmlformats.org/officeDocument/2006/relationships/hyperlink" Target="https://www.digikey.com/en/products/detail/w%C3%BCrth-elektronik/970350365/9488738" TargetMode="External" /><ns0:Relationship Id="rIdBOMLink33" Type="http://schemas.openxmlformats.org/officeDocument/2006/relationships/hyperlink" Target="https://www.digikey.com/en/products/detail/raf-electronic-hardware/M1269-2545-AL/7680971" TargetMode="External" /><ns0:Relationship Id="rIdBOMLink34" Type="http://schemas.openxmlformats.org/officeDocument/2006/relationships/hyperlink" Target="https://www.digikey.com/en/products/detail/hirose-electric-co-ltd/DF63-2S-3-96C/4972157" TargetMode="External" /><ns0:Relationship Id="rIdBOMLink35" Type="http://schemas.openxmlformats.org/officeDocument/2006/relationships/hyperlink" Target="https://www.digikey.com/en/products/detail/hirose-electric-co-ltd/DF63A-1618SC/14564650" TargetMode="External" /><ns0:Relationship Id="rIdBOMLink36" Type="http://schemas.openxmlformats.org/officeDocument/2006/relationships/hyperlink" Target="https://www.digikey.com/en/products/detail/hirose-electric-co-ltd/DF63-3S-3-96C/4972158" TargetMode="External" /><ns0:Relationship Id="rIdBOMLink37" Type="http://schemas.openxmlformats.org/officeDocument/2006/relationships/hyperlink" Target="https://www.digikey.com/en/products/detail/hirose-electric-co-ltd/DF63A-2022SC/14564655" TargetMode="External" /><ns0:Relationship Id="rIdBOMLink38" Type="http://schemas.openxmlformats.org/officeDocument/2006/relationships/hyperlink" Target="https://www.digikey.com/en/products/detail/harwin-inc/M20-1060400/3728193" TargetMode="External" /><ns0:Relationship Id="rIdBOMLink39" Type="http://schemas.openxmlformats.org/officeDocument/2006/relationships/hyperlink" Target="https://www.digikey.com/en/products/detail/w%C3%BCrth-elektronik/97790803111/10056388" TargetMode="External" /><ns0:Relationship Id="rIdBOMLink40" Type="http://schemas.openxmlformats.org/officeDocument/2006/relationships/hyperlink" Target="https://www.digikey.com/en/products/detail/essentra-components/MFW030A/4105389" TargetMode="External" /><ns0:Relationship Id="rIdBOMLink41" Type="http://schemas.openxmlformats.org/officeDocument/2006/relationships/hyperlink" Target="https://www.digikey.com/en/products/detail/essentra-components/50M025045P005/11639454" TargetMode="External" /><ns0:Relationship Id="rIdBOMLink42" Type="http://schemas.openxmlformats.org/officeDocument/2006/relationships/hyperlink" Target="https://www.digikey.com/en/products/detail/harwin-inc/M20-1180046/3728125" TargetMode="External" /><ns0:Relationship Id="rIdBOMLink43" Type="http://schemas.openxmlformats.org/officeDocument/2006/relationships/hyperlink" Target="https://www.digikey.com/en/products/detail/alpha-wire/3057-RD005/204432 ; https://www.digikey.com/en/products/detail/alpha-wire/3057-BK005/204430" TargetMode="External" /><ns0:Relationship Id="rIdBOMLink44" Type="http://schemas.openxmlformats.org/officeDocument/2006/relationships/hyperlink" Target="https://www.digikey.com/en/products/detail/kingbright/WP7113ID/1747663" TargetMode="External" /><ns0:Relationship Id="rIdBOMLink45" Type="http://schemas.openxmlformats.org/officeDocument/2006/relationships/hyperlink" Target="https://www.digikey.com/en/products/detail/kingbright/WP7113QWC-D/26231031" TargetMode="External" /><ns0:Relationship Id="rIdBOMLink46" Type="http://schemas.openxmlformats.org/officeDocument/2006/relationships/hyperlink" Target="https://www.digikey.com/en/products/detail/kingbright/WP7113YD/1747683" TargetMode="External" /><ns0:Relationship Id="rIdBOMLink47" Type="http://schemas.openxmlformats.org/officeDocument/2006/relationships/hyperlink" Target="https://www.digikey.com/en/products/detail/kingbright/WP7113QBC-D/2261460" TargetMode="External" /><ns0:Relationship Id="rIdBOMLink48" Type="http://schemas.openxmlformats.org/officeDocument/2006/relationships/hyperlink" Target="https://github.com/fmarples/18649_team4/blob/lab4/lab4/Heatsink-mounting-review.md#hardware-specification" TargetMode="External" /><ns0:Relationship Id="rIdBOMLink49" Type="http://schemas.openxmlformats.org/officeDocument/2006/relationships/hyperlink" Target="https://github.com/fmarples/18649_team4/blob/lab4/lab4/Parts-review.md" TargetMode="External" /><ns0:Relationship Id="rIdBOMLink50" Type="http://schemas.openxmlformats.org/officeDocument/2006/relationships/hyperlink" Target="https://www.digikey.com/en/products/detail/microchip-technology/MCP1700-4002E-TO/2614904" TargetMode="External" /><ns0:Relationship Id="rIdBOMLink51" Type="http://schemas.openxmlformats.org/officeDocument/2006/relationships/hyperlink" Target="https://www.digikey.com/en/products/detail/kyocera-avx/TPSB106K016R0800/678477" TargetMode="External" /><ns0:Relationship Id="rIdBOMLink52" Type="http://schemas.openxmlformats.org/officeDocument/2006/relationships/hyperlink" Target="https://www.digikey.com/en/products/detail/yageo/RT0603BRD07100KL/1072187" TargetMode="External" /><ns0:Relationship Id="rIdBOMLink53" Type="http://schemas.openxmlformats.org/officeDocument/2006/relationships/hyperlink" Target="https://www.amazon.com/dp/B0DQP7SKGV" TargetMode="External" /><ns0:Relationship Id="rIdBOMLink54" Type="http://schemas.openxmlformats.org/officeDocument/2006/relationships/hyperlink" Target="https://www.amazon.com/dp/B07ZDKT6BD" TargetMode="External" /><ns0:Relationship Id="rIdBOMLink55" Type="http://schemas.openxmlformats.org/officeDocument/2006/relationships/hyperlink" Target="https://www.digikey.com/en/products/detail/sparkfun-electronics/10474/8258064" TargetMode="External" /><ns0:Relationship Id="rIdBOMLink56" Type="http://schemas.openxmlformats.org/officeDocument/2006/relationships/hyperlink" Target="https://www.digikey.com/en/products/detail/littelfuse-commercial-vehicle-products/0FHM0001ZXJ/2004060" TargetMode="External" /><ns0:Relationship Id="rIdBOMLink57" Type="http://schemas.openxmlformats.org/officeDocument/2006/relationships/hyperlink" Target="https://18449-f26.slack.com/archives/C0BRYGTD4HH/p1792789284321879"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9becd142ae914eaf" /><ns0:Relationship Id="rIdBOMLink1" Type="http://schemas.openxmlformats.org/officeDocument/2006/relationships/hyperlink" Target="https://github.com/fmarples/18649_team4/blob/lab4/lab4/Preliminary-BOM.csv" TargetMode="External" /><ns0:Relationship Id="rIdBOMLink2" Type="http://schemas.openxmlformats.org/officeDocument/2006/relationships/hyperlink" Target="https://18449-f26.slack.com/archives/C0BRYGTD4HH/p1792789284321879" TargetMode="External" /><ns0:Relationship Id="rIdBOMLink3" Type="http://schemas.openxmlformats.org/officeDocument/2006/relationships/hyperlink" Target="https://18449-f26.slack.com/archives/C0BRYGTD4HH/p1793052274317539" TargetMode="External" /><ns0:Relationship Id="rIdBOMLink4" Type="http://schemas.openxmlformats.org/officeDocument/2006/relationships/hyperlink" Target="https://www.digikey.com/short/9n43978z" TargetMode="External" /><ns0:Relationship Id="rIdBOMLink5" Type="http://schemas.openxmlformats.org/officeDocument/2006/relationships/hyperlink" Target="https://www.digikey.com/short/2q3q8t40" TargetMode="External" /><ns0:Relationship Id="rIdBOMLink6" Type="http://schemas.openxmlformats.org/officeDocument/2006/relationships/hyperlink" Target="https://www.digikey.com/short/vq8f334d" TargetMode="External" /><ns0:Relationship Id="rIdBOMLink7" Type="http://schemas.openxmlformats.org/officeDocument/2006/relationships/hyperlink" Target="https://www.digikey.com/short/br7d02pp" TargetMode="External" /><ns0:Relationship Id="rIdBOMLink8" Type="http://schemas.openxmlformats.org/officeDocument/2006/relationships/hyperlink" Target="https://www.digikey.com/short/dzn7v8v4" TargetMode="External" /><ns0:Relationship Id="rIdBOMLink9" Type="http://schemas.openxmlformats.org/officeDocument/2006/relationships/hyperlink" Target="https://18449-f26.slack.com/archives/C0BRYGTD4HH/p1792789284321879" TargetMode="External" /><ns0:Relationship Id="rIdBOMLink10" Type="http://schemas.openxmlformats.org/officeDocument/2006/relationships/hyperlink" Target="https://18449-f26.slack.com/archives/C0BRYGTD4HH/p1792789284321879" TargetMode="External" /><ns0:Relationship Id="rIdBOMLink11" Type="http://schemas.openxmlformats.org/officeDocument/2006/relationships/hyperlink" Target="https://18449-f26.slack.com/archives/C0BRYGTD4HH/p1792789284321879" TargetMode="External" /><ns0:Relationship Id="rIdBOMLink12" Type="http://schemas.openxmlformats.org/officeDocument/2006/relationships/hyperlink" Target="https://www.digikey.com/short/3v4wdv91" TargetMode="External" /><ns0:Relationship Id="rIdBOMLink13" Type="http://schemas.openxmlformats.org/officeDocument/2006/relationships/hyperlink" Target="https://www.digikey.com/short/p9rj0720" TargetMode="External" /><ns0:Relationship Id="rIdBOMLink14" Type="http://schemas.openxmlformats.org/officeDocument/2006/relationships/hyperlink" Target="https://18449-f26.slack.com/archives/C0BRYGTD4HH/p1792789284321879" TargetMode="External" /><ns0:Relationship Id="rIdBOMLink15" Type="http://schemas.openxmlformats.org/officeDocument/2006/relationships/hyperlink" Target="https://www.digikey.com/short/jv429bvf" TargetMode="External" /><ns0:Relationship Id="rIdBOMLink16" Type="http://schemas.openxmlformats.org/officeDocument/2006/relationships/hyperlink" Target="https://www.digikey.com/short/9t2hw2r4" TargetMode="External" /><ns0:Relationship Id="rIdBOMLink17" Type="http://schemas.openxmlformats.org/officeDocument/2006/relationships/hyperlink" Target="https://www.digikey.com/short/n7qdn882" TargetMode="External" /><ns0:Relationship Id="rIdBOMLink18" Type="http://schemas.openxmlformats.org/officeDocument/2006/relationships/hyperlink" Target="https://www.digikey.com/short/c4nn83n9" TargetMode="External" /><ns0:Relationship Id="rIdBOMLink19" Type="http://schemas.openxmlformats.org/officeDocument/2006/relationships/hyperlink" Target="https://www.digikey.com/short/b8vwdnm0" TargetMode="External" /><ns0:Relationship Id="rIdBOMLink20" Type="http://schemas.openxmlformats.org/officeDocument/2006/relationships/hyperlink" Target="https://www.digikey.com/short/v01w3qmn" TargetMode="External" /><ns0:Relationship Id="rIdBOMLink21" Type="http://schemas.openxmlformats.org/officeDocument/2006/relationships/hyperlink" Target="https://www.digikey.com/short/tmfw2f4h" TargetMode="External" /><ns0:Relationship Id="rIdBOMLink22" Type="http://schemas.openxmlformats.org/officeDocument/2006/relationships/hyperlink" Target="https://www.digikey.com/short/34mvfn7t" TargetMode="External" /><ns0:Relationship Id="rIdBOMLink23" Type="http://schemas.openxmlformats.org/officeDocument/2006/relationships/hyperlink" Target="https://www.digikey.com/short/p2012wpj" TargetMode="External" /><ns0:Relationship Id="rIdBOMLink24" Type="http://schemas.openxmlformats.org/officeDocument/2006/relationships/hyperlink" Target="https://www.digikey.com/short/fh8p2bz3" TargetMode="External" /><ns0:Relationship Id="rIdBOMLink25" Type="http://schemas.openxmlformats.org/officeDocument/2006/relationships/hyperlink" Target="https://www.digikey.com/short/1807nprh" TargetMode="External" /><ns0:Relationship Id="rIdBOMLink26" Type="http://schemas.openxmlformats.org/officeDocument/2006/relationships/hyperlink" Target="https://www.digikey.com/short/fb4tj3c7" TargetMode="External" /><ns0:Relationship Id="rIdBOMLink27" Type="http://schemas.openxmlformats.org/officeDocument/2006/relationships/hyperlink" Target="https://18449-f26.slack.com/archives/C0BRYGTD4HH/p1792789284321879" TargetMode="External" /><ns0:Relationship Id="rIdBOMLink28" Type="http://schemas.openxmlformats.org/officeDocument/2006/relationships/hyperlink" Target="https://www.digikey.com/short/j2q28bwj" TargetMode="External" /><ns0:Relationship Id="rIdBOMLink29" Type="http://schemas.openxmlformats.org/officeDocument/2006/relationships/hyperlink" Target="https://www.digikey.com/short/r70ftq33" TargetMode="External" /><ns0:Relationship Id="rIdBOMLink30" Type="http://schemas.openxmlformats.org/officeDocument/2006/relationships/hyperlink" Target="https://www.digikey.com/short/p3j5fdrv" TargetMode="External" /><ns0:Relationship Id="rIdBOMLink31" Type="http://schemas.openxmlformats.org/officeDocument/2006/relationships/hyperlink" Target="https://18449-f26.slack.com/archives/C0BRYGTD4HH/p1792789284321879" TargetMode="External" /><ns0:Relationship Id="rIdBOMLink32" Type="http://schemas.openxmlformats.org/officeDocument/2006/relationships/hyperlink" Target="https://18449-f26.slack.com/archives/C0BRYGTD4HH/p1792789284321879" TargetMode="External" /><ns0:Relationship Id="rIdBOMLink33" Type="http://schemas.openxmlformats.org/officeDocument/2006/relationships/hyperlink" Target="https://18449-f26.slack.com/archives/C0BRYGTD4HH/p1792789284321879" TargetMode="External" /><ns0:Relationship Id="rIdBOMLink34" Type="http://schemas.openxmlformats.org/officeDocument/2006/relationships/hyperlink" Target="https://18449-f26.slack.com/archives/C0BRYGTD4HH/p1792789284321879" TargetMode="External" /><ns0:Relationship Id="rIdBOMLink35" Type="http://schemas.openxmlformats.org/officeDocument/2006/relationships/hyperlink" Target="https://18449-f26.slack.com/archives/C0BRYGTD4HH/p1792789284321879" TargetMode="External" /><ns0:Relationship Id="rIdBOMLink36" Type="http://schemas.openxmlformats.org/officeDocument/2006/relationships/hyperlink" Target="https://www.digikey.com/short/38hmjrmb" TargetMode="External" /><ns0:Relationship Id="rIdBOMLink37" Type="http://schemas.openxmlformats.org/officeDocument/2006/relationships/hyperlink" Target="https://www.digikey.com/short/3fz7wn2w" TargetMode="External" /><ns0:Relationship Id="rIdBOMLink38" Type="http://schemas.openxmlformats.org/officeDocument/2006/relationships/hyperlink" Target="https://www.digikey.com/short/bw1zhdwb" TargetMode="External" /><ns0:Relationship Id="rIdBOMLink39" Type="http://schemas.openxmlformats.org/officeDocument/2006/relationships/hyperlink" Target="https://www.digikey.com/short/mz7mrwr2" TargetMode="External" /></ns0:Relationships>
</file>

<file path=xl/worksheets/sheet1.xml><?xml version="1.0" encoding="utf-8"?>
<worksheet xmlns="http://schemas.openxmlformats.org/spreadsheetml/2006/main" xmlns:r="http://schemas.openxmlformats.org/officeDocument/2006/relationships">
  <sheetPr>
    <tabColor rgb="FFC58A18"/>
  </sheetPr>
  <sheetViews>
    <sheetView showGridLines="0" workbookViewId="0">
      <pane xSplit="2" ySplit="8" topLeftCell="C9" activePane="bottomRight" state="frozen"/>
    </sheetView>
  </sheetViews>
  <sheetFormatPr defaultRowHeight="15"/>
  <cols>
    <col min="1" max="1" width="35" hidden="0" customWidth="1"/>
    <col min="2" max="2" width="46" hidden="0" customWidth="1"/>
    <col min="3" max="3" width="10" hidden="0" customWidth="1"/>
    <col min="4" max="4" width="11" hidden="0" customWidth="1"/>
    <col min="5" max="5" width="9" hidden="0" customWidth="1"/>
    <col min="6" max="6" width="12" hidden="0" customWidth="1"/>
    <col min="7" max="7" width="9" hidden="0" customWidth="1"/>
    <col min="8" max="8" width="19" hidden="0" customWidth="1"/>
    <col min="9" max="9" width="66" hidden="0" customWidth="1"/>
    <col min="10" max="10" width="43" hidden="0" customWidth="1"/>
    <col min="11" max="11" width="55" hidden="0" customWidth="1"/>
    <col min="12" max="12" width="25" hidden="0" customWidth="1"/>
  </cols>
  <sheetData>
    <row r="1">
      <c r="A1" s="1"/>
      <c r="B1" s="1"/>
      <c r="C1" s="1"/>
      <c r="D1" s="1"/>
      <c r="E1" s="1"/>
      <c r="F1" s="1"/>
      <c r="G1" s="1"/>
      <c r="H1" s="1"/>
      <c r="I1" s="1"/>
      <c r="J1" s="1"/>
      <c r="K1" s="1"/>
      <c r="L1" s="1"/>
    </row>
    <row r="2" ht="26" customHeight="1">
      <c r="A2" s="8" t="str">
        <v>Team 4 Lab 4 BOM — specialty parts</v>
      </c>
      <c r="B2" s="8"/>
      <c r="C2" s="8"/>
      <c r="D2" s="8"/>
      <c r="E2" s="8"/>
      <c r="F2" s="8"/>
      <c r="G2" s="8"/>
      <c r="H2" s="8"/>
      <c r="I2" s="8"/>
      <c r="J2" s="8"/>
      <c r="K2" s="8"/>
      <c r="L2" s="8"/>
    </row>
    <row r="3" ht="19" customHeight="1">
      <c r="A3" s="9" t="str">
        <v>Specialty = absent from the course v3 list. Yellow rows identify specialty parts.</v>
      </c>
      <c r="B3" s="9"/>
      <c r="C3" s="9"/>
      <c r="D3" s="9"/>
      <c r="E3" s="9"/>
      <c r="F3" s="9"/>
      <c r="G3" s="9"/>
      <c r="H3" s="9"/>
      <c r="I3" s="9"/>
      <c r="J3" s="9"/>
      <c r="K3" s="9"/>
      <c r="L3" s="9"/>
    </row>
    <row r="4" ht="19" customHeight="1">
      <c r="A4" s="9" t="str">
        <v>Totals include proposed spares. Buy only the shortfall after checking course/team stock. OPEN items require TA review.</v>
      </c>
      <c r="B4" s="9"/>
      <c r="C4" s="9"/>
      <c r="D4" s="9"/>
      <c r="E4" s="9"/>
      <c r="F4" s="9"/>
      <c r="G4" s="9"/>
      <c r="H4" s="9"/>
      <c r="I4" s="9"/>
      <c r="J4" s="9"/>
      <c r="K4" s="9"/>
      <c r="L4" s="9"/>
    </row>
    <row r="5" ht="19" customHeight="1">
      <c r="A5" s="11" t="str">
        <v>Source purchasing BOM</v>
      </c>
      <c r="B5" s="11" t="str">
        <v>Course common-list confirmation</v>
      </c>
      <c r="C5" s="1"/>
      <c r="D5" s="1"/>
      <c r="E5" s="1"/>
      <c r="F5" s="1"/>
      <c r="G5" s="1"/>
      <c r="H5" s="11" t="str">
        <v>TA announcement</v>
      </c>
      <c r="I5" s="1"/>
      <c r="J5" s="1"/>
      <c r="K5" s="1"/>
      <c r="L5" s="1"/>
    </row>
    <row r="6" ht="19" customHeight="1">
      <c r="A6" s="10" t="str">
        <v>Reconciled October 28, 2026. 54 consolidated lines. Zero-quantity historical alternatives omitted.</v>
      </c>
      <c r="B6" s="10"/>
      <c r="C6" s="10"/>
      <c r="D6" s="10"/>
      <c r="E6" s="10"/>
      <c r="F6" s="10"/>
      <c r="G6" s="10"/>
      <c r="H6" s="10"/>
      <c r="I6" s="10"/>
      <c r="J6" s="10"/>
      <c r="K6" s="10"/>
      <c r="L6" s="10"/>
    </row>
    <row r="7">
      <c r="A7" s="1"/>
      <c r="B7" s="1"/>
      <c r="C7" s="1"/>
      <c r="D7" s="1"/>
      <c r="E7" s="1"/>
      <c r="F7" s="1"/>
      <c r="G7" s="1"/>
      <c r="H7" s="1"/>
      <c r="I7" s="1"/>
      <c r="J7" s="1"/>
      <c r="K7" s="1"/>
      <c r="L7" s="1"/>
    </row>
    <row r="8" ht="34" customHeight="1">
      <c r="A8" s="7" t="str">
        <v>Part / MPN / specification</v>
      </c>
      <c r="B8" s="7" t="str">
        <v>Description</v>
      </c>
      <c r="C8" s="7" t="str">
        <v>In design</v>
      </c>
      <c r="D8" s="7" t="str">
        <v>Off-board</v>
      </c>
      <c r="E8" s="7" t="str">
        <v>Spares</v>
      </c>
      <c r="F8" s="7" t="str">
        <v>Total requested</v>
      </c>
      <c r="G8" s="7" t="str">
        <v>Unit</v>
      </c>
      <c r="H8" s="7" t="str">
        <v>Supplier / source</v>
      </c>
      <c r="I8" s="7" t="str">
        <v>TA review / purchasing note</v>
      </c>
      <c r="J8" s="7" t="str">
        <v>References</v>
      </c>
      <c r="K8" s="7" t="str">
        <v>Footprint / package</v>
      </c>
      <c r="L8" s="7" t="str">
        <v>Manufacturer</v>
      </c>
    </row>
    <row r="9" ht="46" customHeight="1">
      <c r="A9" s="12" t="str">
        <v>GRM1885C1H180JA01D</v>
      </c>
      <c r="B9" s="12" t="str">
        <v>18p C0G 50V</v>
      </c>
      <c r="C9" s="14" t="n">
        <v>12</v>
      </c>
      <c r="D9" s="14" t="n">
        <v>0</v>
      </c>
      <c r="E9" s="14" t="n">
        <v>1</v>
      </c>
      <c r="F9" s="14" t="n">
        <f>SUM(C9:E9)</f>
        <v>13</v>
      </c>
      <c r="G9" s="12" t="str">
        <v>each</v>
      </c>
      <c r="H9" s="15" t="str">
        <v>DigiKey</v>
      </c>
      <c r="I9" s="12" t="str">
        <v>CL=12pF; equal 18pF caps assume 3pF effective stray; tune after layout/clock measurement</v>
      </c>
      <c r="J9" s="12" t="str">
        <v>C100 C101 C140 C141 C200 C201 C240 C241 C300 C301 C340 C341</v>
      </c>
      <c r="K9" s="12" t="str">
        <v>Capacitor_SMD:C_0603_1608Metric</v>
      </c>
      <c r="L9" s="12" t="str">
        <v>Murata</v>
      </c>
    </row>
    <row r="10" ht="46" customHeight="1">
      <c r="A10" s="12" t="str">
        <v>WSL2512R0100FEA</v>
      </c>
      <c r="B10" s="12" t="str">
        <v>10mR / 1W / 1%</v>
      </c>
      <c r="C10" s="14" t="n">
        <v>1</v>
      </c>
      <c r="D10" s="14" t="n">
        <v>0</v>
      </c>
      <c r="E10" s="14" t="n">
        <v>4</v>
      </c>
      <c r="F10" s="14" t="n">
        <f>SUM(C10:E10)</f>
        <v>5</v>
      </c>
      <c r="G10" s="12" t="str">
        <v>each</v>
      </c>
      <c r="H10" s="15" t="str">
        <v>DigiKey</v>
      </c>
      <c r="I10" s="12" t="str">
        <v>Vishay 30100 p2 land pattern; 10mOhm 1W 1%; 0.16W at 4A; Kelvin routing still required</v>
      </c>
      <c r="J10" s="12" t="str">
        <v>R1</v>
      </c>
      <c r="K10" s="12" t="str">
        <v>Lab4_Power:Vishay_WSL2512_7m_to_500m</v>
      </c>
      <c r="L10" s="12" t="str">
        <v>Vishay Dale</v>
      </c>
    </row>
    <row r="11" ht="46" customHeight="1">
      <c r="A11" s="12" t="str">
        <v>INA180A2IDBVR</v>
      </c>
      <c r="B11" s="12" t="str">
        <v>INA180A2IDBVR</v>
      </c>
      <c r="C11" s="14" t="n">
        <v>1</v>
      </c>
      <c r="D11" s="14" t="n">
        <v>0</v>
      </c>
      <c r="E11" s="14" t="n">
        <v>1</v>
      </c>
      <c r="F11" s="14" t="n">
        <f>SUM(C11:E11)</f>
        <v>2</v>
      </c>
      <c r="G11" s="12" t="str">
        <v>each</v>
      </c>
      <c r="H11" s="15" t="str">
        <v>DigiKey</v>
      </c>
      <c r="I11" s="12" t="str">
        <v>Preliminary; verify before fabrication</v>
      </c>
      <c r="J11" s="12" t="str">
        <v>U1</v>
      </c>
      <c r="K11" s="12" t="str">
        <v>Package_TO_SOT_SMD:SOT-23-5</v>
      </c>
      <c r="L11" s="12" t="str">
        <v>Texas Instruments</v>
      </c>
    </row>
    <row r="12" ht="46" customHeight="1">
      <c r="A12" s="12" t="str">
        <v>DF63M-2P-3.96DSA</v>
      </c>
      <c r="B12" s="12" t="str">
        <v>Battery input: 1=+ 2=GND; LEFT motor; RIGHT motor</v>
      </c>
      <c r="C12" s="14" t="n">
        <v>3</v>
      </c>
      <c r="D12" s="14" t="n">
        <v>0</v>
      </c>
      <c r="E12" s="14" t="n">
        <v>3</v>
      </c>
      <c r="F12" s="14" t="n">
        <f>SUM(C12:E12)</f>
        <v>6</v>
      </c>
      <c r="G12" s="12" t="str">
        <v>each</v>
      </c>
      <c r="H12" s="15" t="str">
        <v>DigiKey</v>
      </c>
      <c r="I12" s="12" t="str">
        <v>Teammate connector proposal; 14A header rating; verify wire/contact derating and fuse</v>
      </c>
      <c r="J12" s="12" t="str">
        <v>J40 J80 J81</v>
      </c>
      <c r="K12" s="12" t="str">
        <v>Connector_Hirose:Hirose_DF63M-2P-3.96DSA_1x02_P3.96mm_Vertical</v>
      </c>
      <c r="L12" s="12" t="str">
        <v>Hirose</v>
      </c>
    </row>
    <row r="13" ht="46" customHeight="1">
      <c r="A13" s="12" t="str">
        <v>3568</v>
      </c>
      <c r="B13" s="12" t="str">
        <v>Fuse: rating TBD</v>
      </c>
      <c r="C13" s="14" t="n">
        <v>1</v>
      </c>
      <c r="D13" s="14" t="n">
        <v>0</v>
      </c>
      <c r="E13" s="14" t="n">
        <v>1</v>
      </c>
      <c r="F13" s="14" t="n">
        <f>SUM(C13:E13)</f>
        <v>2</v>
      </c>
      <c r="G13" s="12" t="str">
        <v>each</v>
      </c>
      <c r="H13" s="15" t="str">
        <v>DigiKey</v>
      </c>
      <c r="I13" s="12" t="str">
        <v>Fuse must coordinate with holder/wire rating and measured inrush; not selected from peak estimate alone</v>
      </c>
      <c r="J13" s="12" t="str">
        <v>F1</v>
      </c>
      <c r="K13" s="12" t="str">
        <v>Fuse:Fuseholder_Blade_Mini_Keystone_3568</v>
      </c>
      <c r="L13" s="12" t="str">
        <v>Keystone Electronics</v>
      </c>
    </row>
    <row r="14" ht="46" customHeight="1">
      <c r="A14" s="12" t="str">
        <v>DMPH3010LK3-13</v>
      </c>
      <c r="B14" s="12" t="str">
        <v>DMPH3010LK3-13</v>
      </c>
      <c r="C14" s="14" t="n">
        <v>1</v>
      </c>
      <c r="D14" s="14" t="n">
        <v>0</v>
      </c>
      <c r="E14" s="14" t="n">
        <v>1</v>
      </c>
      <c r="F14" s="14" t="n">
        <f>SUM(C14:E14)</f>
        <v>2</v>
      </c>
      <c r="G14" s="12" t="str">
        <v>each</v>
      </c>
      <c r="H14" s="15" t="str">
        <v>DigiKey</v>
      </c>
      <c r="I14" s="12" t="str">
        <v>Reverse-polarity: drain toward battery, source toward load. Manufacturer G1 D2 S3. Not a reverse-current blocker.</v>
      </c>
      <c r="J14" s="12" t="str">
        <v>Q1</v>
      </c>
      <c r="K14" s="12" t="str">
        <v>Package_TO_SOT_SMD:TO-252-2</v>
      </c>
      <c r="L14" s="12" t="str">
        <v>Diodes Incorporated</v>
      </c>
    </row>
    <row r="15" ht="46" customHeight="1">
      <c r="A15" s="12" t="str">
        <v>BZT52C12</v>
      </c>
      <c r="B15" s="12" t="str">
        <v>12V gate clamp</v>
      </c>
      <c r="C15" s="14" t="n">
        <v>1</v>
      </c>
      <c r="D15" s="14" t="n">
        <v>0</v>
      </c>
      <c r="E15" s="14" t="n">
        <v>1</v>
      </c>
      <c r="F15" s="14" t="n">
        <f>SUM(C15:E15)</f>
        <v>2</v>
      </c>
      <c r="G15" s="12" t="str">
        <v>each</v>
      </c>
      <c r="H15" s="15" t="str">
        <v>DigiKey</v>
      </c>
      <c r="I15" s="12" t="str">
        <v>Cathode at source, anode at gate; clamp protects VGS, not the battery rail</v>
      </c>
      <c r="J15" s="12" t="str">
        <v>D40</v>
      </c>
      <c r="K15" s="12" t="str">
        <v>Diode_SMD:D_SOD-123F</v>
      </c>
      <c r="L15" s="12" t="str">
        <v>Diotec</v>
      </c>
    </row>
    <row r="16" ht="57" customHeight="1">
      <c r="A16" s="12" t="str">
        <v>UPW1E102MHD</v>
      </c>
      <c r="B16" s="12" t="str">
        <v>1000u / 25V</v>
      </c>
      <c r="C16" s="14" t="n">
        <v>1</v>
      </c>
      <c r="D16" s="14" t="n">
        <v>0</v>
      </c>
      <c r="E16" s="14" t="n">
        <v>1</v>
      </c>
      <c r="F16" s="14" t="n">
        <f>SUM(C16:E16)</f>
        <v>2</v>
      </c>
      <c r="G16" s="12" t="str">
        <v>each</v>
      </c>
      <c r="H16" s="15" t="str">
        <v>DigiKey</v>
      </c>
      <c r="I16" s="12" t="str">
        <v>Nichicon: diameter 12.5 mm, height 20 mm, pitch 5 mm; 1.66 A high-frequency ripple rating. Application ripple/thermal check pending.</v>
      </c>
      <c r="J16" s="12" t="str">
        <v>C400</v>
      </c>
      <c r="K16" s="12" t="str">
        <v>Capacitor_THT:CP_Radial_D12.5mm_P5.00mm</v>
      </c>
      <c r="L16" s="12" t="str">
        <v>Nichicon</v>
      </c>
    </row>
    <row r="17" ht="72" customHeight="1">
      <c r="A17" s="12" t="str">
        <v>GRM32ER61E226KE15L</v>
      </c>
      <c r="B17" s="12" t="str">
        <v>22u / 25V</v>
      </c>
      <c r="C17" s="14" t="n">
        <v>3</v>
      </c>
      <c r="D17" s="14" t="n">
        <v>0</v>
      </c>
      <c r="E17" s="14" t="n">
        <v>1</v>
      </c>
      <c r="F17" s="14" t="n">
        <f>SUM(C17:E17)</f>
        <v>4</v>
      </c>
      <c r="G17" s="12" t="str">
        <v>each</v>
      </c>
      <c r="H17" s="15" t="str">
        <v>DigiKey</v>
      </c>
      <c r="I17" s="12" t="str">
        <v> OPEN: manufacturer typical DC-bias curves found Oct28. Effective capacitance falls well below nominal; input/output filtering and control-loop review must close before fabrication. Present selection is not qualified. See Power-margin-review.md.</v>
      </c>
      <c r="J17" s="12" t="str">
        <v>C410 C420 C430</v>
      </c>
      <c r="K17" s="12" t="str">
        <v>Capacitor_SMD:C_1210_3225Metric</v>
      </c>
      <c r="L17" s="12" t="str">
        <v>Murata</v>
      </c>
    </row>
    <row r="18" ht="46" customHeight="1">
      <c r="A18" s="12" t="str">
        <v>GRM188R71H104KA93D</v>
      </c>
      <c r="B18" s="12" t="str">
        <v>100n / 50V; 100n 50V</v>
      </c>
      <c r="C18" s="14" t="n">
        <v>4</v>
      </c>
      <c r="D18" s="14" t="n">
        <v>0</v>
      </c>
      <c r="E18" s="14" t="n">
        <v>2</v>
      </c>
      <c r="F18" s="14" t="n">
        <f>SUM(C18:E18)</f>
        <v>6</v>
      </c>
      <c r="G18" s="12" t="str">
        <v>each</v>
      </c>
      <c r="H18" s="15" t="str">
        <v>DigiKey</v>
      </c>
      <c r="I18" s="12" t="str">
        <v>Higher voltage input bypass than 16 V shelf capacitor</v>
      </c>
      <c r="J18" s="12" t="str">
        <v>C411 C421 C431 C800</v>
      </c>
      <c r="K18" s="12" t="str">
        <v>Capacitor_SMD:C_0603_1608Metric</v>
      </c>
      <c r="L18" s="12" t="str">
        <v>Murata</v>
      </c>
    </row>
    <row r="19" ht="46" customHeight="1">
      <c r="A19" s="12" t="str">
        <v>RC0603FR-07100KL</v>
      </c>
      <c r="B19" s="12" t="str">
        <v>100k 1%</v>
      </c>
      <c r="C19" s="14" t="n">
        <v>1</v>
      </c>
      <c r="D19" s="14" t="n">
        <v>0</v>
      </c>
      <c r="E19" s="14" t="n">
        <v>1</v>
      </c>
      <c r="F19" s="14" t="n">
        <f>SUM(C19:E19)</f>
        <v>2</v>
      </c>
      <c r="G19" s="12" t="str">
        <v>each</v>
      </c>
      <c r="H19" s="15" t="str">
        <v>DigiKey</v>
      </c>
      <c r="I19" s="12" t="str">
        <v>Calculated design; not bench validated</v>
      </c>
      <c r="J19" s="12" t="str">
        <v>R410</v>
      </c>
      <c r="K19" s="12" t="str">
        <v>Resistor_SMD:R_0603_1608Metric</v>
      </c>
      <c r="L19" s="12" t="str">
        <v>YAGEO</v>
      </c>
    </row>
    <row r="20" ht="57" customHeight="1">
      <c r="A20" s="12" t="str">
        <v>RT0603BRD0710KL</v>
      </c>
      <c r="B20" s="12" t="str">
        <v>10k 0.1%</v>
      </c>
      <c r="C20" s="14" t="n">
        <v>3</v>
      </c>
      <c r="D20" s="14" t="n">
        <v>0</v>
      </c>
      <c r="E20" s="14" t="n">
        <v>2</v>
      </c>
      <c r="F20" s="14" t="n">
        <f>SUM(C20:E20)</f>
        <v>5</v>
      </c>
      <c r="G20" s="12" t="str">
        <v>each</v>
      </c>
      <c r="H20" s="15" t="str">
        <v>DigiKey</v>
      </c>
      <c r="I20" s="12" t="str">
        <v>0.1% tolerance required. Three fitted (R421/R431 feedback and R581 battery divider) plus two spares = five requested. Do not substitute 1% parts.</v>
      </c>
      <c r="J20" s="12" t="str">
        <v>R431 R421 R581</v>
      </c>
      <c r="K20" s="12" t="str">
        <v>Resistor_SMD:R_0603_1608Metric</v>
      </c>
      <c r="L20" s="12" t="str">
        <v>YAGEO</v>
      </c>
    </row>
    <row r="21" ht="57" customHeight="1">
      <c r="A21" s="12" t="str">
        <v>RT0603BRD0775KL</v>
      </c>
      <c r="B21" s="12" t="str">
        <v>75k 0.1%</v>
      </c>
      <c r="C21" s="14" t="n">
        <v>1</v>
      </c>
      <c r="D21" s="14" t="n">
        <v>0</v>
      </c>
      <c r="E21" s="14" t="n">
        <v>1</v>
      </c>
      <c r="F21" s="14" t="n">
        <f>SUM(C21:E21)</f>
        <v>2</v>
      </c>
      <c r="G21" s="12" t="str">
        <v>each</v>
      </c>
      <c r="H21" s="15" t="str">
        <v>DigiKey</v>
      </c>
      <c r="I21" s="12" t="str">
        <v>Original listing out of stock. Approved equivalent: Susumu RG1608P-753-B-T5, 75k 0.1% 0603. Buy one variant only. See active CSV.</v>
      </c>
      <c r="J21" s="12" t="str">
        <v>R420</v>
      </c>
      <c r="K21" s="12" t="str">
        <v>Resistor_SMD:R_0603_1608Metric</v>
      </c>
      <c r="L21" s="12" t="str">
        <v>YAGEO</v>
      </c>
    </row>
    <row r="22" ht="46" customHeight="1">
      <c r="A22" s="12" t="str">
        <v>RC0603FR-0733KL</v>
      </c>
      <c r="B22" s="12" t="str">
        <v>33k</v>
      </c>
      <c r="C22" s="14" t="n">
        <v>1</v>
      </c>
      <c r="D22" s="14" t="n">
        <v>0</v>
      </c>
      <c r="E22" s="14" t="n">
        <v>1</v>
      </c>
      <c r="F22" s="14" t="n">
        <f>SUM(C22:E22)</f>
        <v>2</v>
      </c>
      <c r="G22" s="12" t="str">
        <v>each</v>
      </c>
      <c r="H22" s="15" t="str">
        <v>DigiKey</v>
      </c>
      <c r="I22" s="12" t="str">
        <v>Calculated design; not bench validated</v>
      </c>
      <c r="J22" s="12" t="str">
        <v>R422</v>
      </c>
      <c r="K22" s="12" t="str">
        <v>Resistor_SMD:R_0603_1608Metric</v>
      </c>
      <c r="L22" s="12" t="str">
        <v>YAGEO</v>
      </c>
    </row>
    <row r="23" ht="46" customHeight="1">
      <c r="A23" s="12" t="str">
        <v>RT0603BRD0745K3L</v>
      </c>
      <c r="B23" s="12" t="str">
        <v>45.3k 0.1%</v>
      </c>
      <c r="C23" s="14" t="n">
        <v>1</v>
      </c>
      <c r="D23" s="14" t="n">
        <v>0</v>
      </c>
      <c r="E23" s="14" t="n">
        <v>1</v>
      </c>
      <c r="F23" s="14" t="n">
        <f>SUM(C23:E23)</f>
        <v>2</v>
      </c>
      <c r="G23" s="12" t="str">
        <v>each</v>
      </c>
      <c r="H23" s="15" t="str">
        <v>DigiKey</v>
      </c>
      <c r="I23" s="12" t="str">
        <v>0.1% tolerance required for revised logic-rail margin; do not substitute a 1% course resistor. One fitted plus one spare.</v>
      </c>
      <c r="J23" s="12" t="str">
        <v>R430</v>
      </c>
      <c r="K23" s="12" t="str">
        <v>Resistor_SMD:R_0603_1608Metric</v>
      </c>
      <c r="L23" s="12" t="str">
        <v>YAGEO</v>
      </c>
    </row>
    <row r="24" ht="46" customHeight="1">
      <c r="A24" s="12" t="str">
        <v>RC0603FR-0722KL</v>
      </c>
      <c r="B24" s="12" t="str">
        <v>22k</v>
      </c>
      <c r="C24" s="14" t="n">
        <v>1</v>
      </c>
      <c r="D24" s="14" t="n">
        <v>0</v>
      </c>
      <c r="E24" s="14" t="n">
        <v>1</v>
      </c>
      <c r="F24" s="14" t="n">
        <f>SUM(C24:E24)</f>
        <v>2</v>
      </c>
      <c r="G24" s="12" t="str">
        <v>each</v>
      </c>
      <c r="H24" s="15" t="str">
        <v>DigiKey</v>
      </c>
      <c r="I24" s="12" t="str">
        <v>Original listing out of stock. Equivalent Panasonic ERJ-3EKF2202V, 22k 1% 0603. Buy one variant only. See active CSV.</v>
      </c>
      <c r="J24" s="12" t="str">
        <v>R432</v>
      </c>
      <c r="K24" s="12" t="str">
        <v>Resistor_SMD:R_0603_1608Metric</v>
      </c>
      <c r="L24" s="12" t="str">
        <v>YAGEO</v>
      </c>
    </row>
    <row r="25" ht="46" customHeight="1">
      <c r="A25" s="12" t="str">
        <v>CC0603JRX7R7BB105</v>
      </c>
      <c r="B25" s="12" t="str">
        <v>1u VDDA</v>
      </c>
      <c r="C25" s="14" t="n">
        <v>2</v>
      </c>
      <c r="D25" s="14" t="n">
        <v>0</v>
      </c>
      <c r="E25" s="14" t="n">
        <v>1</v>
      </c>
      <c r="F25" s="14" t="n">
        <f>SUM(C25:E25)</f>
        <v>3</v>
      </c>
      <c r="G25" s="12" t="str">
        <v>each</v>
      </c>
      <c r="H25" s="15" t="str">
        <v>DigiKey</v>
      </c>
      <c r="I25" s="12" t="str">
        <v>Locate at associated supply pin; verify effective capacitance</v>
      </c>
      <c r="J25" s="12" t="str">
        <v>C508 C608</v>
      </c>
      <c r="K25" s="12" t="str">
        <v>Capacitor_SMD:C_0603_1608Metric</v>
      </c>
      <c r="L25" s="12" t="str">
        <v>YAGEO</v>
      </c>
    </row>
    <row r="26" ht="72" customHeight="1">
      <c r="A26" s="12" t="str">
        <v>ESQ-118-44-L-D</v>
      </c>
      <c r="B26" s="12" t="str">
        <v>Pi GPIO pins3-38 / ESQ-118-44-L-D</v>
      </c>
      <c r="C26" s="14" t="n">
        <v>1</v>
      </c>
      <c r="D26" s="14" t="n">
        <v>0</v>
      </c>
      <c r="E26" s="14" t="n">
        <v>1</v>
      </c>
      <c r="F26" s="14" t="n">
        <f>SUM(C26:E26)</f>
        <v>2</v>
      </c>
      <c r="G26" s="12" t="str">
        <v>each</v>
      </c>
      <c r="H26" s="15" t="str">
        <v>Review source</v>
      </c>
      <c r="I26" s="12" t="str">
        <v>NEW Oct27 socket substitution to meet3mm hole-edge clearance. Replace old ESQ-120 request; total2 including spare. Listed stock1 only; confirm US delivery/spare availability. Pin4 supplies5V; align socket toPi3/4.</v>
      </c>
      <c r="J26" s="12" t="str">
        <v>J70</v>
      </c>
      <c r="K26" s="12" t="str">
        <v>Lab4_Mechanical:Samtec_ESQ-118-44_2x18_PiPins3-38_H18.67</v>
      </c>
      <c r="L26" s="12" t="str">
        <v>Samtec</v>
      </c>
    </row>
    <row r="27" ht="46" customHeight="1">
      <c r="A27" s="12" t="str">
        <v>EEU-FR1E471</v>
      </c>
      <c r="B27" s="12" t="str">
        <v>470u 25V</v>
      </c>
      <c r="C27" s="14" t="n">
        <v>1</v>
      </c>
      <c r="D27" s="14" t="n">
        <v>0</v>
      </c>
      <c r="E27" s="14" t="n">
        <v>1</v>
      </c>
      <c r="F27" s="14" t="n">
        <f>SUM(C27:E27)</f>
        <v>2</v>
      </c>
      <c r="G27" s="12" t="str">
        <v>each</v>
      </c>
      <c r="H27" s="15" t="str">
        <v>DigiKey</v>
      </c>
      <c r="I27" s="12" t="str">
        <v>Local decoupling; effective capacitance and layout to verify</v>
      </c>
      <c r="J27" s="12" t="str">
        <v>C802</v>
      </c>
      <c r="K27" s="12" t="str">
        <v>Capacitor_THT:CP_Radial_D8.0mm_P3.50mm</v>
      </c>
      <c r="L27" s="12" t="str">
        <v>Panasonic</v>
      </c>
    </row>
    <row r="28" ht="46" customHeight="1">
      <c r="A28" s="12" t="str">
        <v>CRCW0603100RFKEA</v>
      </c>
      <c r="B28" s="12" t="str">
        <v>100R</v>
      </c>
      <c r="C28" s="14" t="n">
        <v>5</v>
      </c>
      <c r="D28" s="14" t="n">
        <v>0</v>
      </c>
      <c r="E28" s="14" t="n">
        <v>1</v>
      </c>
      <c r="F28" s="14" t="n">
        <f>SUM(C28:E28)</f>
        <v>6</v>
      </c>
      <c r="G28" s="12" t="str">
        <v>each</v>
      </c>
      <c r="H28" s="15" t="str">
        <v>DigiKey</v>
      </c>
      <c r="I28" s="12" t="str">
        <v>Calculated circuit; not hardware validated</v>
      </c>
      <c r="J28" s="12" t="str">
        <v>R800 R801 R802 R803 R540</v>
      </c>
      <c r="K28" s="12" t="str">
        <v>Resistor_SMD:R_0603_1608Metric</v>
      </c>
      <c r="L28" s="12" t="str">
        <v>Vishay Dale</v>
      </c>
    </row>
    <row r="29" ht="87" customHeight="1">
      <c r="A29" s="12" t="str">
        <v>SN74LVC14APW</v>
      </c>
      <c r="B29" s="12" t="str">
        <v>SN74LVC14APWR</v>
      </c>
      <c r="C29" s="14" t="n">
        <v>1</v>
      </c>
      <c r="D29" s="14" t="n">
        <v>0</v>
      </c>
      <c r="E29" s="14" t="n">
        <v>1</v>
      </c>
      <c r="F29" s="14" t="n">
        <f>SUM(C29:E29)</f>
        <v>2</v>
      </c>
      <c r="G29" s="12" t="str">
        <v>each</v>
      </c>
      <c r="H29" s="15" t="str">
        <v>DigiKey</v>
      </c>
      <c r="I29" s="12" t="str">
        <v>RESOLVED SOURCE - use reviewed SN74LVC14APW tube-pack alternative for U81, quantity 2 total. TI identifies PW/PWR as the same device in different carriers. Recheck supplier stock at purchase and record the fitted ordering code. No circuit or footprint change.</v>
      </c>
      <c r="J29" s="12" t="str">
        <v>U81</v>
      </c>
      <c r="K29" s="12" t="str">
        <v>Package_SO:TSSOP-14_4.4x5mm_P0.65mm</v>
      </c>
      <c r="L29" s="12" t="str">
        <v>Texas Instruments</v>
      </c>
    </row>
    <row r="30" ht="46" customHeight="1">
      <c r="A30" s="12" t="str">
        <v>DF63M-3P-3.96DSA</v>
      </c>
      <c r="B30" s="12" t="str">
        <v>Servo: GND / 6.6V / PWM</v>
      </c>
      <c r="C30" s="14" t="n">
        <v>1</v>
      </c>
      <c r="D30" s="14" t="n">
        <v>0</v>
      </c>
      <c r="E30" s="14" t="n">
        <v>1</v>
      </c>
      <c r="F30" s="14" t="n">
        <f>SUM(C30:E30)</f>
        <v>2</v>
      </c>
      <c r="G30" s="12" t="str">
        <v>each</v>
      </c>
      <c r="H30" s="15" t="str">
        <v>DigiKey</v>
      </c>
      <c r="I30" s="12" t="str">
        <v>Board-defined pin order; build/verify adapter to existing cable before power</v>
      </c>
      <c r="J30" s="12" t="str">
        <v>J90</v>
      </c>
      <c r="K30" s="12" t="str">
        <v>Connector_Hirose:Hirose_DF63M-3P-3.96DSA_1x03_P3.96mm_Vertical</v>
      </c>
      <c r="L30" s="12" t="str">
        <v>Hirose</v>
      </c>
    </row>
    <row r="31" ht="46" customHeight="1">
      <c r="A31" s="12" t="str">
        <v>CRCW06032K20FKEA</v>
      </c>
      <c r="B31" s="12" t="str">
        <v>2.2k</v>
      </c>
      <c r="C31" s="14" t="n">
        <v>4</v>
      </c>
      <c r="D31" s="14" t="n">
        <v>0</v>
      </c>
      <c r="E31" s="14" t="n">
        <v>1</v>
      </c>
      <c r="F31" s="14" t="n">
        <f>SUM(C31:E31)</f>
        <v>5</v>
      </c>
      <c r="G31" s="12" t="str">
        <v>each</v>
      </c>
      <c r="H31" s="15" t="str">
        <v>DigiKey</v>
      </c>
      <c r="I31" s="12" t="str">
        <v>Calculated circuit; not hardware validated</v>
      </c>
      <c r="J31" s="12" t="str">
        <v>R550 R551 R650 R651</v>
      </c>
      <c r="K31" s="12" t="str">
        <v>Resistor_SMD:R_0603_1608Metric</v>
      </c>
      <c r="L31" s="12" t="str">
        <v>Vishay Dale</v>
      </c>
    </row>
    <row r="32" ht="46" customHeight="1">
      <c r="A32" s="12" t="str">
        <v>CRCW0603100KFKEA</v>
      </c>
      <c r="B32" s="12" t="str">
        <v>100k</v>
      </c>
      <c r="C32" s="14" t="n">
        <v>4</v>
      </c>
      <c r="D32" s="14" t="n">
        <v>0</v>
      </c>
      <c r="E32" s="14" t="n">
        <v>1</v>
      </c>
      <c r="F32" s="14" t="n">
        <f>SUM(C32:E32)</f>
        <v>5</v>
      </c>
      <c r="G32" s="12" t="str">
        <v>each</v>
      </c>
      <c r="H32" s="15" t="str">
        <v>DigiKey</v>
      </c>
      <c r="I32" s="12" t="str">
        <v>Calculated circuit; not hardware validated</v>
      </c>
      <c r="J32" s="12" t="str">
        <v>R560 R561 R660 R661</v>
      </c>
      <c r="K32" s="12" t="str">
        <v>Resistor_SMD:R_0603_1608Metric</v>
      </c>
      <c r="L32" s="12" t="str">
        <v>Vishay Dale</v>
      </c>
    </row>
    <row r="33" ht="46" customHeight="1">
      <c r="A33" s="12" t="str">
        <v>MMBT3904-7-F</v>
      </c>
      <c r="B33" s="12" t="str">
        <v>MMBT3904</v>
      </c>
      <c r="C33" s="14" t="n">
        <v>4</v>
      </c>
      <c r="D33" s="14" t="n">
        <v>0</v>
      </c>
      <c r="E33" s="14" t="n">
        <v>1</v>
      </c>
      <c r="F33" s="14" t="n">
        <f>SUM(C33:E33)</f>
        <v>5</v>
      </c>
      <c r="G33" s="12" t="str">
        <v>each</v>
      </c>
      <c r="H33" s="15" t="str">
        <v>DigiKey</v>
      </c>
      <c r="I33" s="12" t="str">
        <v>Low-side lamp switch; 220R limits 5.1V LED current; not for incandescent lamps</v>
      </c>
      <c r="J33" s="12" t="str">
        <v>Q550 Q551 Q650 Q651</v>
      </c>
      <c r="K33" s="12" t="str">
        <v>Package_TO_SOT_SMD:SOT-23</v>
      </c>
      <c r="L33" s="12" t="str">
        <v>Diodes Incorporated</v>
      </c>
    </row>
    <row r="34" ht="46" customHeight="1">
      <c r="A34" s="12" t="str">
        <v>CRCW0603220RFKEA</v>
      </c>
      <c r="B34" s="12" t="str">
        <v>220R</v>
      </c>
      <c r="C34" s="14" t="n">
        <v>4</v>
      </c>
      <c r="D34" s="14" t="n">
        <v>0</v>
      </c>
      <c r="E34" s="14" t="n">
        <v>1</v>
      </c>
      <c r="F34" s="14" t="n">
        <f>SUM(C34:E34)</f>
        <v>5</v>
      </c>
      <c r="G34" s="12" t="str">
        <v>each</v>
      </c>
      <c r="H34" s="15" t="str">
        <v>DigiKey</v>
      </c>
      <c r="I34" s="12" t="str">
        <v>Calculated circuit; not hardware validated</v>
      </c>
      <c r="J34" s="12" t="str">
        <v>R570 R571 R670 R671</v>
      </c>
      <c r="K34" s="12" t="str">
        <v>Resistor_SMD:R_0603_1608Metric</v>
      </c>
      <c r="L34" s="12" t="str">
        <v>Vishay Dale</v>
      </c>
    </row>
    <row r="35" ht="57" customHeight="1">
      <c r="A35" s="12" t="str">
        <v>SNT-100-BK-T-H</v>
      </c>
      <c r="B35" s="12" t="str">
        <v>Handled 2.54mm jumper caps</v>
      </c>
      <c r="C35" s="14" t="n">
        <v>0</v>
      </c>
      <c r="D35" s="14" t="n">
        <v>18</v>
      </c>
      <c r="E35" s="14" t="n">
        <v>2</v>
      </c>
      <c r="F35" s="14" t="n">
        <f>SUM(C35:E35)</f>
        <v>20</v>
      </c>
      <c r="G35" s="12" t="str">
        <v>each</v>
      </c>
      <c r="H35" s="15" t="str">
        <v>DigiKey</v>
      </c>
      <c r="I35" s="12" t="str">
        <v>12 isolation + 4 termination + 2 optional BOOT0 recovery caps; 2 spares. BOOT0 caps stored off-board during normal operation. Handle improves access. Reuse matching stock if available.</v>
      </c>
      <c r="J35" s="12" t="str">
        <v>Off-board</v>
      </c>
      <c r="K35" s="12" t="str">
        <v>Off-board / mechanical</v>
      </c>
      <c r="L35" s="12" t="str">
        <v>Samtec</v>
      </c>
    </row>
    <row r="36" ht="57" customHeight="1">
      <c r="A36" s="12" t="str">
        <v>0297010.L</v>
      </c>
      <c r="B36" s="12" t="str">
        <v>10A MINI blade fuse: review candidate, not qualified</v>
      </c>
      <c r="C36" s="14" t="n">
        <v>0</v>
      </c>
      <c r="D36" s="14" t="n">
        <v>2</v>
      </c>
      <c r="E36" s="14" t="n">
        <v>2</v>
      </c>
      <c r="F36" s="14" t="n">
        <f>SUM(C36:E36)</f>
        <v>4</v>
      </c>
      <c r="G36" s="12" t="str">
        <v>each</v>
      </c>
      <c r="H36" s="15" t="str">
        <v>DigiKey</v>
      </c>
      <c r="I36" s="12" t="str">
        <v>OPEN: 10 A fuse candidate. Two fitted (PCB and pack-side holder) plus two spares. Coordinate with startup current, holder, wires and connectors; not per-motor protection.</v>
      </c>
      <c r="J36" s="12" t="str">
        <v>Off-board</v>
      </c>
      <c r="K36" s="12" t="str">
        <v>Off-board / mechanical</v>
      </c>
      <c r="L36" s="12" t="str">
        <v>Littelfuse</v>
      </c>
    </row>
    <row r="37" ht="87" customHeight="1">
      <c r="A37" s="12" t="str">
        <v>970350365</v>
      </c>
      <c r="B37" s="12" t="str">
        <v>M3 female/female nylon chassis spacer; 35mm body, 6mm AF</v>
      </c>
      <c r="C37" s="14" t="n">
        <v>0</v>
      </c>
      <c r="D37" s="14" t="n">
        <v>4</v>
      </c>
      <c r="E37" s="14" t="n">
        <v>1</v>
      </c>
      <c r="F37" s="14" t="n">
        <f>SUM(C37:E37)</f>
        <v>5</v>
      </c>
      <c r="G37" s="12" t="str">
        <v>each</v>
      </c>
      <c r="H37" s="15" t="str">
        <v>DigiKey</v>
      </c>
      <c r="I37" s="12" t="str">
        <v>35mm gap; M3x0.5 threads, 10mm thread depth. Screws/washers listed separately. Smooth4.5mm chassis holes and nominal35mm/22mm stack reviewed in Mechanical-evidence.md; no repeat height measurement requested. Actual retention and full installed steering are assembly checks.</v>
      </c>
      <c r="J37" s="12" t="str">
        <v>Off-board</v>
      </c>
      <c r="K37" s="12" t="str">
        <v>Off-board / mechanical</v>
      </c>
      <c r="L37" s="12" t="str">
        <v>Wurth Elektronik</v>
      </c>
    </row>
    <row r="38" ht="102" customHeight="1">
      <c r="A38" s="12" t="str">
        <v>M1269-2545-AL</v>
      </c>
      <c r="B38" s="12" t="str">
        <v>M2.5 female/female aluminum Pi spacer; 22mm body, 4.5mm hex AF</v>
      </c>
      <c r="C38" s="14" t="n">
        <v>0</v>
      </c>
      <c r="D38" s="14" t="n">
        <v>4</v>
      </c>
      <c r="E38" s="14" t="n">
        <v>1</v>
      </c>
      <c r="F38" s="14" t="n">
        <f>SUM(C38:E38)</f>
        <v>5</v>
      </c>
      <c r="G38" s="12" t="str">
        <v>each</v>
      </c>
      <c r="H38" s="15" t="str">
        <v>DigiKey</v>
      </c>
      <c r="I38" s="12" t="str">
        <v>DigiKey-listed substitute. About5.20mm across corners within5.5mm maximum envelope; saved socket body leaves0.595mm nominal clearance at5.5mm OD. Min4.70mm thread depth; use5mm screws. Nominal22mm Pi gap/5.17mm engagement checked; mating/retention are assembly checks. The shortened Pi3-38 socket now meets the 3mm hole-edge rule; see Mounting-and-encoder-revision.md.</v>
      </c>
      <c r="J38" s="12" t="str">
        <v>Off-board</v>
      </c>
      <c r="K38" s="12" t="str">
        <v>Off-board / mechanical</v>
      </c>
      <c r="L38" s="12" t="str">
        <v>RAF Electronic Hardware</v>
      </c>
    </row>
    <row r="39" ht="46" customHeight="1">
      <c r="A39" s="12" t="str">
        <v>DF63-2S-3.96C</v>
      </c>
      <c r="B39" s="12" t="str">
        <v>Battery/motor cable housings</v>
      </c>
      <c r="C39" s="14" t="n">
        <v>0</v>
      </c>
      <c r="D39" s="14" t="n">
        <v>3</v>
      </c>
      <c r="E39" s="14" t="n">
        <v>1</v>
      </c>
      <c r="F39" s="14" t="n">
        <f>SUM(C39:E39)</f>
        <v>4</v>
      </c>
      <c r="G39" s="12" t="str">
        <v>each</v>
      </c>
      <c r="H39" s="15" t="str">
        <v>DigiKey</v>
      </c>
      <c r="I39" s="12" t="str">
        <v>One battery and two motor adapters. Exact mating family selected; pinout and actual cable continuity still require verification.</v>
      </c>
      <c r="J39" s="12" t="str">
        <v>Off-board</v>
      </c>
      <c r="K39" s="12" t="str">
        <v>Off-board / mechanical</v>
      </c>
      <c r="L39" s="12" t="str">
        <v>Hirose</v>
      </c>
    </row>
    <row r="40" ht="72" customHeight="1">
      <c r="A40" s="12" t="str">
        <v>DF63A-1618SC</v>
      </c>
      <c r="B40" s="12" t="str">
        <v>Battery/motor crimp contacts</v>
      </c>
      <c r="C40" s="14" t="n">
        <v>0</v>
      </c>
      <c r="D40" s="14" t="n">
        <v>6</v>
      </c>
      <c r="E40" s="14" t="n">
        <v>4</v>
      </c>
      <c r="F40" s="14" t="n">
        <f>SUM(C40:E40)</f>
        <v>10</v>
      </c>
      <c r="G40" s="12" t="str">
        <v>each</v>
      </c>
      <c r="H40" s="15" t="str">
        <v>DigiKey</v>
      </c>
      <c r="I40" s="12" t="str">
        <v>Six installed contacts plus four spares. Selected 16AWG adapter wire; original motor/battery tails may need insulated gauge transitions. Match crimp tooling to terminal and insulation; do not force thin motor wires into a 16-18AWG crimp.</v>
      </c>
      <c r="J40" s="12" t="str">
        <v>Off-board</v>
      </c>
      <c r="K40" s="12" t="str">
        <v>Off-board / mechanical</v>
      </c>
      <c r="L40" s="12" t="str">
        <v>Hirose</v>
      </c>
    </row>
    <row r="41" ht="57" customHeight="1">
      <c r="A41" s="12" t="str">
        <v>DF63-3S-3.96C</v>
      </c>
      <c r="B41" s="12" t="str">
        <v>Servo adapter cable housing</v>
      </c>
      <c r="C41" s="14" t="n">
        <v>0</v>
      </c>
      <c r="D41" s="14" t="n">
        <v>1</v>
      </c>
      <c r="E41" s="14" t="n">
        <v>1</v>
      </c>
      <c r="F41" s="14" t="n">
        <f>SUM(C41:E41)</f>
        <v>2</v>
      </c>
      <c r="G41" s="12" t="str">
        <v>each</v>
      </c>
      <c r="H41" s="15" t="str">
        <v>DigiKey</v>
      </c>
      <c r="I41" s="12" t="str">
        <v>Board-side mating family selected. J90:1GND/2sensed6.6V/3PWM. Servo-side lead/transition still unresolved under purchasing rule; see Parts-review.md.</v>
      </c>
      <c r="J41" s="12" t="str">
        <v>Off-board</v>
      </c>
      <c r="K41" s="12" t="str">
        <v>Off-board / mechanical</v>
      </c>
      <c r="L41" s="12" t="str">
        <v>Hirose</v>
      </c>
    </row>
    <row r="42" ht="72" customHeight="1">
      <c r="A42" s="12" t="str">
        <v>DF63A-2022SC</v>
      </c>
      <c r="B42" s="12" t="str">
        <v>Servo cable contacts / adapter harness</v>
      </c>
      <c r="C42" s="14" t="n">
        <v>0</v>
      </c>
      <c r="D42" s="14" t="n">
        <v>3</v>
      </c>
      <c r="E42" s="14" t="n">
        <v>3</v>
      </c>
      <c r="F42" s="14" t="n">
        <f>SUM(C42:E42)</f>
        <v>6</v>
      </c>
      <c r="G42" s="12" t="str">
        <v>each</v>
      </c>
      <c r="H42" s="15" t="str">
        <v>DigiKey</v>
      </c>
      <c r="I42" s="12" t="str">
        <v>Three contacts+three spares, for20-22AWG adapter wire only. Existing servo wire gauge unverified; use an appropriate insulated transition if needed. Servo-side mate/current capability unresolved.</v>
      </c>
      <c r="J42" s="12" t="str">
        <v>Off-board</v>
      </c>
      <c r="K42" s="12" t="str">
        <v>Off-board / mechanical</v>
      </c>
      <c r="L42" s="12" t="str">
        <v>Hirose</v>
      </c>
    </row>
    <row r="43" ht="57" customHeight="1">
      <c r="A43" s="12" t="str">
        <v>M20-1060400</v>
      </c>
      <c r="B43" s="12" t="str">
        <v>Encoder board-side 4-position 2.54mm cable housings</v>
      </c>
      <c r="C43" s="14" t="n">
        <v>0</v>
      </c>
      <c r="D43" s="14" t="n">
        <v>2</v>
      </c>
      <c r="E43" s="14" t="n">
        <v>1</v>
      </c>
      <c r="F43" s="14" t="n">
        <f>SUM(C43:E43)</f>
        <v>3</v>
      </c>
      <c r="G43" s="12" t="str">
        <v>each</v>
      </c>
      <c r="H43" s="15" t="str">
        <v>DigiKey</v>
      </c>
      <c r="I43" s="12" t="str">
        <v>J82/J83 pin 1=nominal4.0V, 2=GND, 3=A, 4=B. Unkeyed: mark pin1 and polarity. Vehicle end uses existing PH2.0-6 cable / course FIT0587 if physically matching. Do not infer motor-cable colors.</v>
      </c>
      <c r="J43" s="12" t="str">
        <v>Off-board</v>
      </c>
      <c r="K43" s="12" t="str">
        <v>Off-board / mechanical</v>
      </c>
      <c r="L43" s="12" t="str">
        <v>Harwin</v>
      </c>
    </row>
    <row r="44" ht="57" customHeight="1">
      <c r="A44" s="12" t="str">
        <v>97790803111</v>
      </c>
      <c r="B44" s="12" t="str">
        <v>M3x8 nylon pan-head screws for chassis spacers</v>
      </c>
      <c r="C44" s="14" t="n">
        <v>0</v>
      </c>
      <c r="D44" s="14" t="n">
        <v>8</v>
      </c>
      <c r="E44" s="14" t="n">
        <v>2</v>
      </c>
      <c r="F44" s="14" t="n">
        <f>SUM(C44:E44)</f>
        <v>10</v>
      </c>
      <c r="G44" s="12" t="str">
        <v>each</v>
      </c>
      <c r="H44" s="15" t="str">
        <v>DigiKey</v>
      </c>
      <c r="I44" s="12" t="str">
        <v>8 installed+2spares; one at each spacer end. About5.9mm top engagement with1.6mm PCB and0.5mm washer; spacer thread depth10mm. Check actual lower plate thickness and tightening.</v>
      </c>
      <c r="J44" s="12" t="str">
        <v>Off-board</v>
      </c>
      <c r="K44" s="12" t="str">
        <v>Off-board / mechanical</v>
      </c>
      <c r="L44" s="12" t="str">
        <v>Wurth Elektronik</v>
      </c>
    </row>
    <row r="45" ht="57" customHeight="1">
      <c r="A45" s="12" t="str">
        <v>MFW030A</v>
      </c>
      <c r="B45" s="12" t="str">
        <v>M3 nylon washers; 3.2mm ID x7mm OD x0.5mm</v>
      </c>
      <c r="C45" s="14" t="n">
        <v>0</v>
      </c>
      <c r="D45" s="14" t="n">
        <v>8</v>
      </c>
      <c r="E45" s="14" t="n">
        <v>2</v>
      </c>
      <c r="F45" s="14" t="n">
        <f>SUM(C45:E45)</f>
        <v>10</v>
      </c>
      <c r="G45" s="12" t="str">
        <v>each</v>
      </c>
      <c r="H45" s="15" t="str">
        <v>DigiKey</v>
      </c>
      <c r="I45" s="12" t="str">
        <v>8 installed+2spares; under screw heads. Bridges confirmed4.5mm smooth chassis holes. Does not add to35mm plate gap; check load retention.</v>
      </c>
      <c r="J45" s="12" t="str">
        <v>Off-board</v>
      </c>
      <c r="K45" s="12" t="str">
        <v>Off-board / mechanical</v>
      </c>
      <c r="L45" s="12" t="str">
        <v>Essentra Components</v>
      </c>
    </row>
    <row r="46" ht="57" customHeight="1">
      <c r="A46" s="12" t="str">
        <v>50M025045P005</v>
      </c>
      <c r="B46" s="12" t="str">
        <v>M2.5x5 nylon pan Phillips screws; 5mm head diameter</v>
      </c>
      <c r="C46" s="14" t="n">
        <v>0</v>
      </c>
      <c r="D46" s="14" t="n">
        <v>8</v>
      </c>
      <c r="E46" s="14" t="n">
        <v>2</v>
      </c>
      <c r="F46" s="14" t="n">
        <f>SUM(C46:E46)</f>
        <v>10</v>
      </c>
      <c r="G46" s="12" t="str">
        <v>each</v>
      </c>
      <c r="H46" s="15" t="str">
        <v>DigiKey</v>
      </c>
      <c r="I46" s="12" t="str">
        <v>8 installed+2spares; two per Pi spacer. Approx3.4mm engagement through1.6mm board versus RAF min4.70mm thread depth; no spacing washers. Check actual fit and retention.</v>
      </c>
      <c r="J46" s="12" t="str">
        <v>Off-board</v>
      </c>
      <c r="K46" s="12" t="str">
        <v>Off-board / mechanical</v>
      </c>
      <c r="L46" s="12" t="str">
        <v>Essentra Components</v>
      </c>
    </row>
    <row r="47" ht="57" customHeight="1">
      <c r="A47" s="12" t="str">
        <v>M20-1180046</v>
      </c>
      <c r="B47" s="12" t="str">
        <v>Encoder housing loose female crimp contacts; 22-30AWG</v>
      </c>
      <c r="C47" s="14" t="n">
        <v>0</v>
      </c>
      <c r="D47" s="14" t="n">
        <v>8</v>
      </c>
      <c r="E47" s="14" t="n">
        <v>4</v>
      </c>
      <c r="F47" s="14" t="n">
        <f>SUM(C47:E47)</f>
        <v>12</v>
      </c>
      <c r="G47" s="12" t="str">
        <v>each</v>
      </c>
      <c r="H47" s="15" t="str">
        <v>DigiKey</v>
      </c>
      <c r="I47" s="12" t="str">
        <v>Four contacts per encoder; four spares. For M20-1060400 and 0.64mm square header pins. Match actual wire insulation and verified crimp tooling.</v>
      </c>
      <c r="J47" s="12" t="str">
        <v>Off-board</v>
      </c>
      <c r="K47" s="12" t="str">
        <v>Off-board / mechanical</v>
      </c>
      <c r="L47" s="12" t="str">
        <v>Harwin</v>
      </c>
    </row>
    <row r="48" ht="117" customHeight="1">
      <c r="A48" s="12" t="str">
        <v>3057 (red/black cut lengths)</v>
      </c>
      <c r="B48" s="12" t="str">
        <v>16AWG stranded UL1007 power wire; total metres, half red/half black</v>
      </c>
      <c r="C48" s="14" t="n">
        <v>0</v>
      </c>
      <c r="D48" s="14" t="n">
        <v>4</v>
      </c>
      <c r="E48" s="14" t="n">
        <v>2</v>
      </c>
      <c r="F48" s="14" t="n">
        <f>SUM(C48:E48)</f>
        <v>6</v>
      </c>
      <c r="G48" s="12" t="str">
        <v>m</v>
      </c>
      <c r="H48" s="15" t="str">
        <v>DigiKey</v>
      </c>
      <c r="I48" s="12" t="str">
        <v>Request 3m red AND 3m black (2m planned +1m routing/spare each). DF63A-1618SC crimp range includes 16AWG. Exact installed length, temperature, bundling and fuse coordination still require verification. Do not buy full reels if lab can supply cut lengths. Linked RD005/BK005 listings are 100ft (30.5m) spools. Requested_total is metres, not spools. If lab cut lengths are unavailable, reconcile order units and cost before procurement.</v>
      </c>
      <c r="J48" s="12" t="str">
        <v>Off-board</v>
      </c>
      <c r="K48" s="12" t="str">
        <v>Off-board / mechanical</v>
      </c>
      <c r="L48" s="12" t="str">
        <v>Alpha Wire</v>
      </c>
    </row>
    <row r="49" ht="87" customHeight="1">
      <c r="A49" s="12" t="str">
        <v>WP7113ID</v>
      </c>
      <c r="B49" s="12" t="str">
        <v>5mm red vehicle LED: front-left</v>
      </c>
      <c r="C49" s="14" t="n">
        <v>0</v>
      </c>
      <c r="D49" s="14" t="n">
        <v>1</v>
      </c>
      <c r="E49" s="14" t="n">
        <v>1</v>
      </c>
      <c r="F49" s="14" t="n">
        <f>SUM(C49:E49)</f>
        <v>2</v>
      </c>
      <c r="G49" s="12" t="str">
        <v>each</v>
      </c>
      <c r="H49" s="15" t="str">
        <v>DigiKey</v>
      </c>
      <c r="I49" s="12" t="str">
        <v>One installed plus one color-matched spare. Replacement baseline; reuse existing LED only if its ratings/polarity are compatible. Existing 220R/5.1V transistor stage gives approximately 7-14mA with typical Vf; calculate/verify actual brightness. Not listed by exact MPN in course v3.</v>
      </c>
      <c r="J49" s="12" t="str">
        <v>Off-board</v>
      </c>
      <c r="K49" s="12" t="str">
        <v>Off-board / mechanical</v>
      </c>
      <c r="L49" s="12" t="str">
        <v>Kingbright</v>
      </c>
    </row>
    <row r="50" ht="87" customHeight="1">
      <c r="A50" s="12" t="str">
        <v>WP7113QWC/D</v>
      </c>
      <c r="B50" s="12" t="str">
        <v>5mm white vehicle LED: front-right</v>
      </c>
      <c r="C50" s="14" t="n">
        <v>0</v>
      </c>
      <c r="D50" s="14" t="n">
        <v>1</v>
      </c>
      <c r="E50" s="14" t="n">
        <v>1</v>
      </c>
      <c r="F50" s="14" t="n">
        <f>SUM(C50:E50)</f>
        <v>2</v>
      </c>
      <c r="G50" s="12" t="str">
        <v>each</v>
      </c>
      <c r="H50" s="15" t="str">
        <v>DigiKey</v>
      </c>
      <c r="I50" s="12" t="str">
        <v>One installed plus one color-matched spare. Replacement baseline; reuse existing LED only if its ratings/polarity are compatible. Existing 220R/5.1V transistor stage gives approximately 7-14mA with typical Vf; calculate/verify actual brightness. Not listed by exact MPN in course v3.</v>
      </c>
      <c r="J50" s="12" t="str">
        <v>Off-board</v>
      </c>
      <c r="K50" s="12" t="str">
        <v>Off-board / mechanical</v>
      </c>
      <c r="L50" s="12" t="str">
        <v>Kingbright</v>
      </c>
    </row>
    <row r="51" ht="87" customHeight="1">
      <c r="A51" s="12" t="str">
        <v>WP7113YD</v>
      </c>
      <c r="B51" s="12" t="str">
        <v>5mm yellow vehicle LED: rear-left</v>
      </c>
      <c r="C51" s="14" t="n">
        <v>0</v>
      </c>
      <c r="D51" s="14" t="n">
        <v>1</v>
      </c>
      <c r="E51" s="14" t="n">
        <v>1</v>
      </c>
      <c r="F51" s="14" t="n">
        <f>SUM(C51:E51)</f>
        <v>2</v>
      </c>
      <c r="G51" s="12" t="str">
        <v>each</v>
      </c>
      <c r="H51" s="15" t="str">
        <v>DigiKey</v>
      </c>
      <c r="I51" s="12" t="str">
        <v>One installed plus one color-matched spare. Replacement baseline; reuse existing LED only if its ratings/polarity are compatible. Existing 220R/5.1V transistor stage gives approximately 7-14mA with typical Vf; calculate/verify actual brightness. Not listed by exact MPN in course v3.</v>
      </c>
      <c r="J51" s="12" t="str">
        <v>Off-board</v>
      </c>
      <c r="K51" s="12" t="str">
        <v>Off-board / mechanical</v>
      </c>
      <c r="L51" s="12" t="str">
        <v>Kingbright</v>
      </c>
    </row>
    <row r="52" ht="87" customHeight="1">
      <c r="A52" s="12" t="str">
        <v>WP7113QBC/D</v>
      </c>
      <c r="B52" s="12" t="str">
        <v>5mm blue vehicle LED: rear-right</v>
      </c>
      <c r="C52" s="14" t="n">
        <v>0</v>
      </c>
      <c r="D52" s="14" t="n">
        <v>1</v>
      </c>
      <c r="E52" s="14" t="n">
        <v>1</v>
      </c>
      <c r="F52" s="14" t="n">
        <f>SUM(C52:E52)</f>
        <v>2</v>
      </c>
      <c r="G52" s="12" t="str">
        <v>each</v>
      </c>
      <c r="H52" s="15" t="str">
        <v>DigiKey</v>
      </c>
      <c r="I52" s="12" t="str">
        <v>One installed plus one color-matched spare. Replacement baseline; reuse existing LED only if its ratings/polarity are compatible. Existing 220R/5.1V transistor stage gives approximately 7-14mA with typical Vf; calculate/verify actual brightness. Not listed by exact MPN in course v3.</v>
      </c>
      <c r="J52" s="12" t="str">
        <v>Off-board</v>
      </c>
      <c r="K52" s="12" t="str">
        <v>Off-board / mechanical</v>
      </c>
      <c r="L52" s="12" t="str">
        <v>Kingbright</v>
      </c>
    </row>
    <row r="53" ht="72" customHeight="1">
      <c r="A53" s="12" t="str">
        <v>SPECIFIED: L298N-to-6396BG attachment</v>
      </c>
      <c r="B53" s="12" t="str">
        <v>One mounting kit: M3 steel screw/nut/washers and thermal grease</v>
      </c>
      <c r="C53" s="14" t="n">
        <v>0</v>
      </c>
      <c r="D53" s="14" t="n">
        <v>1</v>
      </c>
      <c r="E53" s="14" t="n">
        <v>0</v>
      </c>
      <c r="F53" s="14" t="n">
        <f>SUM(C53:E53)</f>
        <v>1</v>
      </c>
      <c r="G53" s="12" t="str">
        <v>assembly</v>
      </c>
      <c r="H53" s="15" t="str">
        <v>Review source</v>
      </c>
      <c r="I53" s="12" t="str">
        <v>OPEN - course-stock allocation only: can the course supply one specified kit or equivalent? Drawing-based mounting method is resolved. Buy any shortfall from the linked DigiKey/Mouser sources; do not order bulk packs without reconciling shared demand.</v>
      </c>
      <c r="J53" s="12" t="str">
        <v>Off-board</v>
      </c>
      <c r="K53" s="12" t="str">
        <v>Off-board / mechanical</v>
      </c>
      <c r="L53" s="12" t="str">
        <v>Keystone / BFirst / MG Chemicals, or documented course equivalents</v>
      </c>
    </row>
    <row r="54" ht="102" customHeight="1">
      <c r="A54" s="12" t="str">
        <v>UNRESOLVED: servo-side adapter lead</v>
      </c>
      <c r="B54" s="12" t="str">
        <v>One servo adapter; SparkFun19224 candidate only; Hirose parts listed separately</v>
      </c>
      <c r="C54" s="14" t="n">
        <v>0</v>
      </c>
      <c r="D54" s="14" t="n">
        <v>1</v>
      </c>
      <c r="E54" s="14" t="n">
        <v>0</v>
      </c>
      <c r="F54" s="14" t="n">
        <f>SUM(C54:E54)</f>
        <v>1</v>
      </c>
      <c r="G54" s="12" t="str">
        <v>each</v>
      </c>
      <c r="H54" s="15" t="str">
        <v>Review needed</v>
      </c>
      <c r="I54" s="12" t="str">
        <v>OPEN - TA recommendation requested: which course-stock or DigiKey/Mouser male servo lead should we use for the LD-1501MG? SparkFun19224 is only a candidate; its contact/cable current rating is undocumented for the listed 2.4-3A stall range. Final selection and fit/polarity/continuity/voltage-drop/heating checks are required before powered use, not completed October24 measurements.</v>
      </c>
      <c r="J54" s="12" t="str">
        <v>Off-board</v>
      </c>
      <c r="K54" s="12" t="str">
        <v>External / mechanical</v>
      </c>
      <c r="L54" s="12" t="str">
        <v>Unselected; SparkFun candidate</v>
      </c>
    </row>
    <row r="55" ht="57" customHeight="1">
      <c r="A55" s="12" t="str">
        <v>MCP1700-4002E/TO</v>
      </c>
      <c r="B55" s="12" t="str">
        <v>MCP1700-4002E/TO</v>
      </c>
      <c r="C55" s="14" t="n">
        <v>1</v>
      </c>
      <c r="D55" s="14" t="n">
        <v>0</v>
      </c>
      <c r="E55" s="14" t="n">
        <v>1</v>
      </c>
      <c r="F55" s="14" t="n">
        <f>SUM(C55:E55)</f>
        <v>2</v>
      </c>
      <c r="G55" s="12" t="str">
        <v>each</v>
      </c>
      <c r="H55" s="15" t="str">
        <v>DigiKey</v>
      </c>
      <c r="I55" s="12" t="str">
        <v>NEW October 27 encoder-supply revision: request listed total from DigiKey less any confirmed course allocation; not in the October 26 purchasing snapshot.</v>
      </c>
      <c r="J55" s="12" t="str">
        <v>U82</v>
      </c>
      <c r="K55" s="12" t="str">
        <v>Package_TO_SOT_THT:TO-92_Inline_Wide</v>
      </c>
      <c r="L55" s="12" t="str">
        <v>Microchip Technology</v>
      </c>
    </row>
    <row r="56" ht="57" customHeight="1">
      <c r="A56" s="12" t="str">
        <v>TPSB106K016R0800</v>
      </c>
      <c r="B56" s="12" t="str">
        <v>10u 16V 10% low-ESR</v>
      </c>
      <c r="C56" s="14" t="n">
        <v>2</v>
      </c>
      <c r="D56" s="14" t="n">
        <v>0</v>
      </c>
      <c r="E56" s="14" t="n">
        <v>1</v>
      </c>
      <c r="F56" s="14" t="n">
        <f>SUM(C56:E56)</f>
        <v>3</v>
      </c>
      <c r="G56" s="12" t="str">
        <v>each</v>
      </c>
      <c r="H56" s="15" t="str">
        <v>DigiKey</v>
      </c>
      <c r="I56" s="12" t="str">
        <v>NEW October 27 encoder-supply revision: request listed total from DigiKey less any confirmed course allocation; not in the October 26 purchasing snapshot.</v>
      </c>
      <c r="J56" s="12" t="str">
        <v>C804 C805</v>
      </c>
      <c r="K56" s="12" t="str">
        <v>Capacitor_Tantalum_SMD:CP_EIA-3528-21_Kemet-B</v>
      </c>
      <c r="L56" s="12" t="str">
        <v>KYOCERA AVX</v>
      </c>
    </row>
    <row r="57" ht="46" customHeight="1">
      <c r="A57" s="12" t="str">
        <v>RT0603BRD07100KL</v>
      </c>
      <c r="B57" s="12" t="str">
        <v>100k 0.1% battery divider</v>
      </c>
      <c r="C57" s="14" t="n">
        <v>1</v>
      </c>
      <c r="D57" s="14" t="n">
        <v>0</v>
      </c>
      <c r="E57" s="14" t="n">
        <v>1</v>
      </c>
      <c r="F57" s="14" t="n">
        <f>SUM(C57:E57)</f>
        <v>2</v>
      </c>
      <c r="G57" s="12" t="str">
        <v>each</v>
      </c>
      <c r="H57" s="15" t="str">
        <v>DigiKey</v>
      </c>
      <c r="I57" s="12" t="str">
        <v>Battery divider high side. 15V design ceiling; 0.1% ratio resistors.</v>
      </c>
      <c r="J57" s="12" t="str">
        <v>R580</v>
      </c>
      <c r="K57" s="12" t="str">
        <v>Resistor_SMD:R_0603_1608Metric</v>
      </c>
      <c r="L57" s="12" t="str">
        <v>YAGEO</v>
      </c>
    </row>
    <row r="58" ht="57" customHeight="1">
      <c r="A58" s="12" t="str">
        <v>S220403BK / Amazon B0DQP7SKGV</v>
      </c>
      <c r="B58" s="12" t="str">
        <v>CNHL 3S 11.1V 2200mAh 40C shorty LiPo; one TWO-PACK listing</v>
      </c>
      <c r="C58" s="14" t="n">
        <v>0</v>
      </c>
      <c r="D58" s="14" t="n">
        <v>1</v>
      </c>
      <c r="E58" s="14" t="n">
        <v>0</v>
      </c>
      <c r="F58" s="14" t="n">
        <f>SUM(C58:E58)</f>
        <v>1</v>
      </c>
      <c r="G58" s="12" t="str">
        <v>two-pack</v>
      </c>
      <c r="H58" s="15" t="str">
        <v>Amazon</v>
      </c>
      <c r="I58" s="12" t="str">
        <v>APPROVED replacement pair Oct28. Confirm exact variant/seller/delivery and any existing order before purchasing. One requested unit is a TWO-PACK listing, not two listings.</v>
      </c>
      <c r="J58" s="12" t="str">
        <v>Off-board</v>
      </c>
      <c r="K58" s="12" t="str">
        <v>77x33x26mm nominal; +5mm dimensional allowance fits measured envelope</v>
      </c>
      <c r="L58" s="12" t="str">
        <v>CNHL</v>
      </c>
    </row>
    <row r="59" ht="57" customHeight="1">
      <c r="A59" s="12" t="str">
        <v>44295 / HRC44295</v>
      </c>
      <c r="B59" s="12" t="str">
        <v>Hitec RDX1 Mini AC65W balance/storage charger</v>
      </c>
      <c r="C59" s="14" t="n">
        <v>0</v>
      </c>
      <c r="D59" s="14" t="n">
        <v>1</v>
      </c>
      <c r="E59" s="14" t="n">
        <v>0</v>
      </c>
      <c r="F59" s="14" t="n">
        <f>SUM(C59:E59)</f>
        <v>1</v>
      </c>
      <c r="G59" s="12" t="str">
        <v>each</v>
      </c>
      <c r="H59" s="15" t="str">
        <v>Amazon</v>
      </c>
      <c r="I59" s="12" t="str">
        <v>APPROVED replacement pair Oct28. Confirm exact variant/seller/delivery and any existing order before purchasing. One charger; use standard 3S LiPo balance mode with the selected pack.</v>
      </c>
      <c r="J59" s="12" t="str">
        <v>Off-board</v>
      </c>
      <c r="K59" s="12" t="str">
        <v>External AC100-240V; 2-4S LiPo;0.1-6A</v>
      </c>
      <c r="L59" s="12" t="str">
        <v>Hitec</v>
      </c>
    </row>
    <row r="60" ht="102" customHeight="1">
      <c r="A60" s="12" t="str">
        <v>PRT-10474 / 10474</v>
      </c>
      <c r="B60" s="12" t="str">
        <v>XT60 male/female connector pairs for vehicle and charge harnesses</v>
      </c>
      <c r="C60" s="14" t="n">
        <v>0</v>
      </c>
      <c r="D60" s="14" t="n">
        <v>3</v>
      </c>
      <c r="E60" s="14" t="n">
        <v>0</v>
      </c>
      <c r="F60" s="14" t="n">
        <f>SUM(C60:E60)</f>
        <v>3</v>
      </c>
      <c r="G60" s="12" t="str">
        <v>pair</v>
      </c>
      <c r="H60" s="15" t="str">
        <v>DigiKey</v>
      </c>
      <c r="I60" s="12" t="str">
        <v>Reserve one mating end for the vehicle adapter and two for charger extension if needed; unused ends are spares. Assemble from16AWG stock with insulated joints. Match actual contact sex/keying at both ends; do not modify battery terminals or balance lead. Current capability and polarity must hold for complete harness; charging adapter is separate from vehicle adapter.</v>
      </c>
      <c r="J60" s="12" t="str">
        <v>Off-board</v>
      </c>
      <c r="K60" s="12" t="str">
        <v>Three pairs = six connector bodies; not three assembled leads</v>
      </c>
      <c r="L60" s="12" t="str">
        <v>SparkFun</v>
      </c>
    </row>
    <row r="61" ht="102" customHeight="1">
      <c r="A61" s="12" t="str">
        <v>0FHM0001ZXJ</v>
      </c>
      <c r="B61" s="12" t="str">
        <v>Pack-side MINI inline fuse holder with cover</v>
      </c>
      <c r="C61" s="14" t="n">
        <v>0</v>
      </c>
      <c r="D61" s="14" t="n">
        <v>1</v>
      </c>
      <c r="E61" s="14" t="n">
        <v>0</v>
      </c>
      <c r="F61" s="14" t="n">
        <f>SUM(C61:E61)</f>
        <v>1</v>
      </c>
      <c r="G61" s="12" t="str">
        <v>each</v>
      </c>
      <c r="H61" s="15" t="str">
        <v>DigiKey</v>
      </c>
      <c r="I61" s="12" t="str">
        <v>Place in positive vehicle adapter near battery connector, before long cable. Transition14AWG holder leads to16AWG DF63 contacts using insulated splice; never force14AWG into16-18AWG crimp. Separate0297010.L10A candidate element. Complete fuse/wire/connector coordination remains open. Do not count the PCB fuse as protecting the upstream cable.</v>
      </c>
      <c r="J61" s="12" t="str">
        <v>Off-board</v>
      </c>
      <c r="K61" s="12" t="str">
        <v>14AWG prewired leads; MINI fuse;32VDC</v>
      </c>
      <c r="L61" s="12" t="str">
        <v>Littelfuse</v>
      </c>
    </row>
    <row r="62" ht="46" customHeight="1">
      <c r="A62" s="12" t="str">
        <v>Course LiPo charging bag</v>
      </c>
      <c r="B62" s="12" t="str">
        <v>Fire-resistant LiPo charging bag required by handout</v>
      </c>
      <c r="C62" s="14" t="n">
        <v>0</v>
      </c>
      <c r="D62" s="14" t="n">
        <v>1</v>
      </c>
      <c r="E62" s="14" t="n">
        <v>0</v>
      </c>
      <c r="F62" s="14" t="n">
        <f>SUM(C62:E62)</f>
        <v>1</v>
      </c>
      <c r="G62" s="12" t="str">
        <v>each</v>
      </c>
      <c r="H62" s="15" t="str">
        <v>Course request — open</v>
      </c>
      <c r="I62" s="12" t="str">
        <v>Can the course supply a suitable LiPo charging bag? If not, provide a permitted purchase source before charging.</v>
      </c>
      <c r="J62" s="12" t="str">
        <v>Off-board</v>
      </c>
      <c r="K62" s="12" t="str">
        <v>Must close around one82x38x31mm pack allowance with charge leads exiting</v>
      </c>
      <c r="L62" s="12" t="str">
        <v>Course stock</v>
      </c>
    </row>
  </sheetData>
  <conditionalFormatting sqref="I9:I62">
    <cfRule type="containsText" dxfId="0" priority="1" operator="containsText" text="OPEN:"/>
  </conditionalFormatting>
  <hyperlinks>
    <hyperlink ref="A5" r:id="rIdBOMLink1"/>
    <hyperlink ref="B5" r:id="rIdBOMLink2"/>
    <hyperlink ref="H5" r:id="rIdBOMLink3"/>
    <hyperlink ref="H9" r:id="rIdBOMLink4"/>
    <hyperlink ref="H10" r:id="rIdBOMLink5"/>
    <hyperlink ref="H11" r:id="rIdBOMLink6"/>
    <hyperlink ref="H12" r:id="rIdBOMLink7"/>
    <hyperlink ref="H13" r:id="rIdBOMLink8"/>
    <hyperlink ref="H14" r:id="rIdBOMLink9"/>
    <hyperlink ref="H15" r:id="rIdBOMLink10"/>
    <hyperlink ref="H16" r:id="rIdBOMLink11"/>
    <hyperlink ref="H17" r:id="rIdBOMLink12"/>
    <hyperlink ref="H18" r:id="rIdBOMLink13"/>
    <hyperlink ref="H19" r:id="rIdBOMLink14"/>
    <hyperlink ref="H20" r:id="rIdBOMLink15"/>
    <hyperlink ref="H21" r:id="rIdBOMLink16"/>
    <hyperlink ref="H22" r:id="rIdBOMLink17"/>
    <hyperlink ref="H23" r:id="rIdBOMLink18"/>
    <hyperlink ref="H24" r:id="rIdBOMLink19"/>
    <hyperlink ref="H25" r:id="rIdBOMLink20"/>
    <hyperlink ref="H26" r:id="rIdBOMLink21"/>
    <hyperlink ref="H27" r:id="rIdBOMLink22"/>
    <hyperlink ref="H28" r:id="rIdBOMLink23"/>
    <hyperlink ref="H29" r:id="rIdBOMLink24"/>
    <hyperlink ref="H30" r:id="rIdBOMLink25"/>
    <hyperlink ref="H31" r:id="rIdBOMLink26"/>
    <hyperlink ref="H32" r:id="rIdBOMLink27"/>
    <hyperlink ref="H33" r:id="rIdBOMLink28"/>
    <hyperlink ref="H34" r:id="rIdBOMLink29"/>
    <hyperlink ref="H35" r:id="rIdBOMLink30"/>
    <hyperlink ref="H36" r:id="rIdBOMLink31"/>
    <hyperlink ref="H37" r:id="rIdBOMLink32"/>
    <hyperlink ref="H38" r:id="rIdBOMLink33"/>
    <hyperlink ref="H39" r:id="rIdBOMLink34"/>
    <hyperlink ref="H40" r:id="rIdBOMLink35"/>
    <hyperlink ref="H41" r:id="rIdBOMLink36"/>
    <hyperlink ref="H42" r:id="rIdBOMLink37"/>
    <hyperlink ref="H43" r:id="rIdBOMLink38"/>
    <hyperlink ref="H44" r:id="rIdBOMLink39"/>
    <hyperlink ref="H45" r:id="rIdBOMLink40"/>
    <hyperlink ref="H46" r:id="rIdBOMLink41"/>
    <hyperlink ref="H47" r:id="rIdBOMLink42"/>
    <hyperlink ref="H48" r:id="rIdBOMLink43"/>
    <hyperlink ref="H49" r:id="rIdBOMLink44"/>
    <hyperlink ref="H50" r:id="rIdBOMLink45"/>
    <hyperlink ref="H51" r:id="rIdBOMLink46"/>
    <hyperlink ref="H52" r:id="rIdBOMLink47"/>
    <hyperlink ref="H53" r:id="rIdBOMLink48"/>
    <hyperlink ref="H54" r:id="rIdBOMLink49"/>
    <hyperlink ref="H55" r:id="rIdBOMLink50"/>
    <hyperlink ref="H56" r:id="rIdBOMLink51"/>
    <hyperlink ref="H57" r:id="rIdBOMLink52"/>
    <hyperlink ref="H58" r:id="rIdBOMLink53"/>
    <hyperlink ref="H59" r:id="rIdBOMLink54"/>
    <hyperlink ref="H60" r:id="rIdBOMLink55"/>
    <hyperlink ref="H61" r:id="rIdBOMLink56"/>
    <hyperlink ref="H62" r:id="rIdBOMLink57"/>
  </hyperlinks>
  <pageMargins left="0.7" right="0.7" top="0.75" bottom="0.75" header="0.3" footer="0.3"/>
  <tableParts count="1">
    <tablePart r:id="Rb2db65750126449c"/>
  </tableParts>
</worksheet>
</file>

<file path=xl/worksheets/sheet2.xml><?xml version="1.0" encoding="utf-8"?>
<worksheet xmlns="http://schemas.openxmlformats.org/spreadsheetml/2006/main" xmlns:r="http://schemas.openxmlformats.org/officeDocument/2006/relationships">
  <sheetPr>
    <tabColor rgb="FF64748B"/>
  </sheetPr>
  <sheetViews>
    <sheetView showGridLines="0" workbookViewId="0">
      <pane xSplit="2" ySplit="8" topLeftCell="C9" activePane="bottomRight" state="frozen"/>
    </sheetView>
  </sheetViews>
  <sheetFormatPr defaultRowHeight="15"/>
  <cols>
    <col min="1" max="1" width="35" hidden="0" customWidth="1"/>
    <col min="2" max="2" width="46" hidden="0" customWidth="1"/>
    <col min="3" max="3" width="10" hidden="0" customWidth="1"/>
    <col min="4" max="4" width="11" hidden="0" customWidth="1"/>
    <col min="5" max="5" width="9" hidden="0" customWidth="1"/>
    <col min="6" max="6" width="12" hidden="0" customWidth="1"/>
    <col min="7" max="7" width="9" hidden="0" customWidth="1"/>
    <col min="8" max="8" width="19" hidden="0" customWidth="1"/>
    <col min="9" max="9" width="66" hidden="0" customWidth="1"/>
    <col min="10" max="10" width="43" hidden="0" customWidth="1"/>
    <col min="11" max="11" width="55" hidden="0" customWidth="1"/>
    <col min="12" max="12" width="25" hidden="0" customWidth="1"/>
  </cols>
  <sheetData>
    <row r="1">
      <c r="A1" s="1"/>
      <c r="B1" s="1"/>
      <c r="C1" s="1"/>
      <c r="D1" s="1"/>
      <c r="E1" s="1"/>
      <c r="F1" s="1"/>
      <c r="G1" s="1"/>
      <c r="H1" s="1"/>
      <c r="I1" s="1"/>
      <c r="J1" s="1"/>
      <c r="K1" s="1"/>
      <c r="L1" s="1"/>
    </row>
    <row r="2" ht="26" customHeight="1">
      <c r="A2" s="8" t="str">
        <v>Team 4 Lab 4 BOM — common parts</v>
      </c>
      <c r="B2" s="8"/>
      <c r="C2" s="8"/>
      <c r="D2" s="8"/>
      <c r="E2" s="8"/>
      <c r="F2" s="8"/>
      <c r="G2" s="8"/>
      <c r="H2" s="8"/>
      <c r="I2" s="8"/>
      <c r="J2" s="8"/>
      <c r="K2" s="8"/>
      <c r="L2" s="8"/>
    </row>
    <row r="3" ht="19" customHeight="1">
      <c r="A3" s="9" t="str">
        <v>Common = exact MPN or generic header entry in the course v3 list. Allocation is unconfirmed.</v>
      </c>
      <c r="B3" s="9"/>
      <c r="C3" s="9"/>
      <c r="D3" s="9"/>
      <c r="E3" s="9"/>
      <c r="F3" s="9"/>
      <c r="G3" s="9"/>
      <c r="H3" s="9"/>
      <c r="I3" s="9"/>
      <c r="J3" s="9"/>
      <c r="K3" s="9"/>
      <c r="L3" s="9"/>
    </row>
    <row r="4" ht="19" customHeight="1">
      <c r="A4" s="9" t="str">
        <v>Totals include proposed spares. Buy only the shortfall after checking course/team stock. OPEN items require TA review.</v>
      </c>
      <c r="B4" s="9"/>
      <c r="C4" s="9"/>
      <c r="D4" s="9"/>
      <c r="E4" s="9"/>
      <c r="F4" s="9"/>
      <c r="G4" s="9"/>
      <c r="H4" s="9"/>
      <c r="I4" s="9"/>
      <c r="J4" s="9"/>
      <c r="K4" s="9"/>
      <c r="L4" s="9"/>
    </row>
    <row r="5" ht="19" customHeight="1">
      <c r="A5" s="11" t="str">
        <v>Source purchasing BOM</v>
      </c>
      <c r="B5" s="11" t="str">
        <v>Course common-list confirmation</v>
      </c>
      <c r="C5" s="1"/>
      <c r="D5" s="1"/>
      <c r="E5" s="1"/>
      <c r="F5" s="1"/>
      <c r="G5" s="1"/>
      <c r="H5" s="11" t="str">
        <v>TA announcement</v>
      </c>
      <c r="I5" s="1"/>
      <c r="J5" s="1"/>
      <c r="K5" s="1"/>
      <c r="L5" s="1"/>
    </row>
    <row r="6" ht="19" customHeight="1">
      <c r="A6" s="10" t="str">
        <v>Reconciled October 28, 2026. 36 consolidated lines. Zero-quantity historical alternatives omitted.</v>
      </c>
      <c r="B6" s="10"/>
      <c r="C6" s="10"/>
      <c r="D6" s="10"/>
      <c r="E6" s="10"/>
      <c r="F6" s="10"/>
      <c r="G6" s="10"/>
      <c r="H6" s="10"/>
      <c r="I6" s="10"/>
      <c r="J6" s="10"/>
      <c r="K6" s="10"/>
      <c r="L6" s="10"/>
    </row>
    <row r="7">
      <c r="A7" s="1"/>
      <c r="B7" s="1"/>
      <c r="C7" s="1"/>
      <c r="D7" s="1"/>
      <c r="E7" s="1"/>
      <c r="F7" s="1"/>
      <c r="G7" s="1"/>
      <c r="H7" s="1"/>
      <c r="I7" s="1"/>
      <c r="J7" s="1"/>
      <c r="K7" s="1"/>
      <c r="L7" s="1"/>
    </row>
    <row r="8" ht="34" customHeight="1">
      <c r="A8" s="7" t="str">
        <v>Part / MPN / specification</v>
      </c>
      <c r="B8" s="7" t="str">
        <v>Description</v>
      </c>
      <c r="C8" s="7" t="str">
        <v>In design</v>
      </c>
      <c r="D8" s="7" t="str">
        <v>Off-board</v>
      </c>
      <c r="E8" s="7" t="str">
        <v>Spares</v>
      </c>
      <c r="F8" s="7" t="str">
        <v>Total requested</v>
      </c>
      <c r="G8" s="7" t="str">
        <v>Unit</v>
      </c>
      <c r="H8" s="7" t="str">
        <v>Supplier / source</v>
      </c>
      <c r="I8" s="7" t="str">
        <v>TA review / purchasing note</v>
      </c>
      <c r="J8" s="7" t="str">
        <v>References</v>
      </c>
      <c r="K8" s="7" t="str">
        <v>Footprint / package</v>
      </c>
      <c r="L8" s="7" t="str">
        <v>Manufacturer</v>
      </c>
    </row>
    <row r="9" ht="87" customHeight="1">
      <c r="A9" s="17" t="str">
        <v>MCP2515T-I/ST</v>
      </c>
      <c r="B9" s="17" t="str">
        <v>MCP2515T-I/ST</v>
      </c>
      <c r="C9" s="19" t="n">
        <v>6</v>
      </c>
      <c r="D9" s="19" t="n">
        <v>0</v>
      </c>
      <c r="E9" s="19" t="n">
        <v>1</v>
      </c>
      <c r="F9" s="19" t="n">
        <f>SUM(C9:E9)</f>
        <v>7</v>
      </c>
      <c r="G9" s="17" t="str">
        <v>each</v>
      </c>
      <c r="H9" s="20" t="str">
        <v>DigiKey</v>
      </c>
      <c r="I9" s="17" t="str">
        <v>OPEN - course-stock allocation: please confirm how many of Requested_total the course can supply; request only the shortfall from DigiKey/Mouser. Requested_total includes proposed spares and is total demand, not confirmed stock or an additional buy quantity.</v>
      </c>
      <c r="J9" s="17" t="str">
        <v>U10 U14 U20 U24 U30 U34</v>
      </c>
      <c r="K9" s="17" t="str">
        <v>Package_SO:TSSOP-20_4.4x6.5mm_P0.65mm</v>
      </c>
      <c r="L9" s="17" t="str">
        <v>Microchip Technology</v>
      </c>
    </row>
    <row r="10" ht="87" customHeight="1">
      <c r="A10" s="17" t="str">
        <v>SN65HVD231DR</v>
      </c>
      <c r="B10" s="17" t="str">
        <v>SN65HVD231DR</v>
      </c>
      <c r="C10" s="19" t="n">
        <v>6</v>
      </c>
      <c r="D10" s="19" t="n">
        <v>0</v>
      </c>
      <c r="E10" s="19" t="n">
        <v>1</v>
      </c>
      <c r="F10" s="19" t="n">
        <f>SUM(C10:E10)</f>
        <v>7</v>
      </c>
      <c r="G10" s="17" t="str">
        <v>each</v>
      </c>
      <c r="H10" s="20" t="str">
        <v>DigiKey</v>
      </c>
      <c r="I10" s="17" t="str">
        <v>OPEN - course-stock allocation: please confirm how many of Requested_total the course can supply; request only the shortfall from DigiKey/Mouser. Requested_total includes proposed spares and is total demand, not confirmed stock or an additional buy quantity.</v>
      </c>
      <c r="J10" s="17" t="str">
        <v>U11 U15 U21 U25 U31 U35</v>
      </c>
      <c r="K10" s="17" t="str">
        <v>Package_SO:SOIC-8_3.9x4.9mm_P1.27mm</v>
      </c>
      <c r="L10" s="17" t="str">
        <v>Texas Instruments</v>
      </c>
    </row>
    <row r="11" ht="87" customHeight="1">
      <c r="A11" s="17" t="str">
        <v>CX3225SB16000H0FLJCC</v>
      </c>
      <c r="B11" s="17" t="str">
        <v>16 MHz</v>
      </c>
      <c r="C11" s="19" t="n">
        <v>6</v>
      </c>
      <c r="D11" s="19" t="n">
        <v>0</v>
      </c>
      <c r="E11" s="19" t="n">
        <v>1</v>
      </c>
      <c r="F11" s="19" t="n">
        <f>SUM(C11:E11)</f>
        <v>7</v>
      </c>
      <c r="G11" s="17" t="str">
        <v>each</v>
      </c>
      <c r="H11" s="20" t="str">
        <v>DigiKey</v>
      </c>
      <c r="I11" s="17" t="str">
        <v>OPEN - course-stock allocation: please confirm how many of Requested_total the course can supply; request only the shortfall from DigiKey/Mouser. Requested_total includes proposed spares and is total demand, not confirmed stock or an additional buy quantity.</v>
      </c>
      <c r="J11" s="17" t="str">
        <v>Y10 Y14 Y20 Y24 Y30 Y34</v>
      </c>
      <c r="K11" s="17" t="str">
        <v>Crystal:Crystal_SMD_3225-4Pin_3.2x2.5mm</v>
      </c>
      <c r="L11" s="17" t="str">
        <v>KYOCERA AVX</v>
      </c>
    </row>
    <row r="12" ht="87" customHeight="1">
      <c r="A12" s="17" t="str">
        <v>CRCW060310K0FKEA</v>
      </c>
      <c r="B12" s="17" t="str">
        <v>10k; 10k 1%; 10k PG pullup; 10k BOOT0; 10k NRST; 10k TEST pullup; 10k PWM pulldown; 10k boot pulldown</v>
      </c>
      <c r="C12" s="19" t="n">
        <v>42</v>
      </c>
      <c r="D12" s="19" t="n">
        <v>0</v>
      </c>
      <c r="E12" s="19" t="n">
        <v>9</v>
      </c>
      <c r="F12" s="19" t="n">
        <f>SUM(C12:E12)</f>
        <v>51</v>
      </c>
      <c r="G12" s="17" t="str">
        <v>each</v>
      </c>
      <c r="H12" s="20" t="str">
        <v>DigiKey</v>
      </c>
      <c r="I12" s="17" t="str">
        <v>OPEN - course-stock allocation: please confirm how many of Requested_total the course can supply; request only the shortfall from DigiKey/Mouser. Requested_total includes proposed spares and is total demand, not confirmed stock or an additional buy quantity.</v>
      </c>
      <c r="J12" s="17" t="str">
        <v>R100 R101 R140 R141 R200 R201 R240 R241 R300 R301 R340 R341 R3 R4 R6 R7 R400 R413 R423 R433 R804 R805 R806 R807 R411 R414 R424 R434 R500 R600 R501 R601 R502 R602 R700 R530 R630 R631 R632 R633 R634 R635</v>
      </c>
      <c r="K12" s="17" t="str">
        <v>Resistor_SMD:R_0603_1608Metric</v>
      </c>
      <c r="L12" s="17" t="str">
        <v>Vishay</v>
      </c>
    </row>
    <row r="13" ht="102" customHeight="1">
      <c r="A13" s="17" t="str">
        <v>KGM15AR71C104KT</v>
      </c>
      <c r="B13" s="17" t="str">
        <v>100n; 100n VDD19; 100n VDD32; 100n VDD48; 100n VDD64; 100n VBAT; 100n VDDA; 100n NRST; 100n TEST</v>
      </c>
      <c r="C13" s="19" t="n">
        <v>45</v>
      </c>
      <c r="D13" s="19" t="n">
        <v>0</v>
      </c>
      <c r="E13" s="19" t="n">
        <v>11</v>
      </c>
      <c r="F13" s="19" t="n">
        <f>SUM(C13:E13)</f>
        <v>56</v>
      </c>
      <c r="G13" s="17" t="str">
        <v>each</v>
      </c>
      <c r="H13" s="20" t="str">
        <v>DigiKey</v>
      </c>
      <c r="I13" s="17" t="str">
        <v>OPEN - course-stock allocation: please confirm how many of Requested_total the course can supply; request only the shortfall from DigiKey/Mouser. Requested_total includes proposed spares and is total demand, not confirmed stock or an additional buy quantity.</v>
      </c>
      <c r="J13" s="17" t="str">
        <v>C102 C103 C104 C142 C143 C144 C202 C203 C204 C242 C243 C244 C302 C303 C304 C342 C343 C344 C1 C2 C3 C5 C6 C8 C701 C801 C803 C580 C500 C600 C501 C601 C502 C602 C503 C603 C504 C604 C507 C607 C509 C609 C510 C610 C702</v>
      </c>
      <c r="K13" s="17" t="str">
        <v>Capacitor_SMD:C_0603_1608Metric</v>
      </c>
      <c r="L13" s="17" t="str">
        <v>KYOCERA AVX</v>
      </c>
    </row>
    <row r="14" ht="102" customHeight="1">
      <c r="A14" s="17" t="str">
        <v>Header 2x02 / 2.54 mm / vertical</v>
      </c>
      <c r="B14" s="17" t="str">
        <v>CAN A isolation; CAN B isolation</v>
      </c>
      <c r="C14" s="19" t="n">
        <v>6</v>
      </c>
      <c r="D14" s="19" t="n">
        <v>0</v>
      </c>
      <c r="E14" s="19" t="n">
        <v>2</v>
      </c>
      <c r="F14" s="19" t="n">
        <f>SUM(C14:E14)</f>
        <v>8</v>
      </c>
      <c r="G14" s="17" t="str">
        <v>each</v>
      </c>
      <c r="H14" s="20" t="str">
        <v>Course stock</v>
      </c>
      <c r="I14"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14" s="17" t="str">
        <v>J10 J20 J30 J14 J24 J34</v>
      </c>
      <c r="K14" s="17" t="str">
        <v>Connector_PinHeader_2.54mm:PinHeader_2x02_P2.54mm_Vertical</v>
      </c>
      <c r="L14" s="17" t="str">
        <v>Unspecified</v>
      </c>
    </row>
    <row r="15" ht="102" customHeight="1">
      <c r="A15" s="17" t="str">
        <v>Header 1x04 / 2.54 mm / vertical</v>
      </c>
      <c r="B15" s="17" t="str">
        <v>CAN A test; CAN B test; Current test; Reserved / encoder probes; LEFT encoder; RIGHT encoder</v>
      </c>
      <c r="C15" s="19" t="n">
        <v>11</v>
      </c>
      <c r="D15" s="19" t="n">
        <v>0</v>
      </c>
      <c r="E15" s="19" t="n">
        <v>6</v>
      </c>
      <c r="F15" s="19" t="n">
        <f>SUM(C15:E15)</f>
        <v>17</v>
      </c>
      <c r="G15" s="17" t="str">
        <v>each</v>
      </c>
      <c r="H15" s="20" t="str">
        <v>Course stock</v>
      </c>
      <c r="I15"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15" s="17" t="str">
        <v>J11 J21 J31 J15 J25 J35 J2 J3 J505 J82 J83</v>
      </c>
      <c r="K15" s="17" t="str">
        <v>Connector_PinHeader_2.54mm:PinHeader_1x04_P2.54mm_Vertical</v>
      </c>
      <c r="L15" s="17" t="str">
        <v>Unspecified</v>
      </c>
    </row>
    <row r="16" ht="102" customHeight="1">
      <c r="A16" s="17" t="str">
        <v>Header 1x02 / 2.54 mm / vertical</v>
      </c>
      <c r="B16" s="17" t="str">
        <v>TERM A; TERM B; VBAT test; BOOT recovery; FRONT LEFT lamp; FRONT RIGHT lamp; REAR LEFT lamp; REAR RIGHT lamp</v>
      </c>
      <c r="C16" s="19" t="n">
        <v>11</v>
      </c>
      <c r="D16" s="19" t="n">
        <v>0</v>
      </c>
      <c r="E16" s="19" t="n">
        <v>8</v>
      </c>
      <c r="F16" s="19" t="n">
        <f>SUM(C16:E16)</f>
        <v>19</v>
      </c>
      <c r="G16" s="17" t="str">
        <v>each</v>
      </c>
      <c r="H16" s="20" t="str">
        <v>Course stock</v>
      </c>
      <c r="I16"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16" s="17" t="str">
        <v>JP10 JP20 JP14 JP24 J41 J500 J600 J550 J551 J650 J651</v>
      </c>
      <c r="K16" s="17" t="str">
        <v>Connector_PinHeader_2.54mm:PinHeader_1x02_P2.54mm_Vertical</v>
      </c>
      <c r="L16" s="17" t="str">
        <v>Unspecified</v>
      </c>
    </row>
    <row r="17" ht="87" customHeight="1">
      <c r="A17" s="17" t="str">
        <v>RC0603FR-07120RL</v>
      </c>
      <c r="B17" s="17" t="str">
        <v>120R</v>
      </c>
      <c r="C17" s="19" t="n">
        <v>4</v>
      </c>
      <c r="D17" s="19" t="n">
        <v>0</v>
      </c>
      <c r="E17" s="19" t="n">
        <v>1</v>
      </c>
      <c r="F17" s="19" t="n">
        <f>SUM(C17:E17)</f>
        <v>5</v>
      </c>
      <c r="G17" s="17" t="str">
        <v>each</v>
      </c>
      <c r="H17" s="20" t="str">
        <v>DigiKey</v>
      </c>
      <c r="I17" s="17" t="str">
        <v>OPEN - course-stock allocation: please confirm how many of Requested_total the course can supply; request only the shortfall from DigiKey/Mouser. Requested_total includes proposed spares and is total demand, not confirmed stock or an additional buy quantity.</v>
      </c>
      <c r="J17" s="17" t="str">
        <v>R102 R142 R202 R242</v>
      </c>
      <c r="K17" s="17" t="str">
        <v>Resistor_SMD:R_0603_1608Metric</v>
      </c>
      <c r="L17" s="17" t="str">
        <v>YAGEO</v>
      </c>
    </row>
    <row r="18" ht="87" customHeight="1">
      <c r="A18" s="17" t="str">
        <v>RC0603FR-074K7L</v>
      </c>
      <c r="B18" s="17" t="str">
        <v>4.7k</v>
      </c>
      <c r="C18" s="19" t="n">
        <v>1</v>
      </c>
      <c r="D18" s="19" t="n">
        <v>0</v>
      </c>
      <c r="E18" s="19" t="n">
        <v>1</v>
      </c>
      <c r="F18" s="19" t="n">
        <f>SUM(C18:E18)</f>
        <v>2</v>
      </c>
      <c r="G18" s="17" t="str">
        <v>each</v>
      </c>
      <c r="H18" s="20" t="str">
        <v>DigiKey</v>
      </c>
      <c r="I18" s="17" t="str">
        <v>OPEN - course-stock allocation: please confirm how many of Requested_total the course can supply; request only the shortfall from DigiKey/Mouser. Requested_total includes proposed spares and is total demand, not confirmed stock or an additional buy quantity.</v>
      </c>
      <c r="J18" s="17" t="str">
        <v>R2</v>
      </c>
      <c r="K18" s="17" t="str">
        <v>Resistor_SMD:R_0603_1608Metric</v>
      </c>
      <c r="L18" s="17" t="str">
        <v>YAGEO</v>
      </c>
    </row>
    <row r="19" ht="102" customHeight="1">
      <c r="A19" s="17" t="str">
        <v>Header 1x03 / 2.54 mm / vertical</v>
      </c>
      <c r="B19" s="17" t="str">
        <v>Sense test points; Rail / PG / GND; 3.3V TTL UART</v>
      </c>
      <c r="C19" s="19" t="n">
        <v>6</v>
      </c>
      <c r="D19" s="19" t="n">
        <v>0</v>
      </c>
      <c r="E19" s="19" t="n">
        <v>3</v>
      </c>
      <c r="F19" s="19" t="n">
        <f>SUM(C19:E19)</f>
        <v>9</v>
      </c>
      <c r="G19" s="17" t="str">
        <v>each</v>
      </c>
      <c r="H19" s="20" t="str">
        <v>Course stock</v>
      </c>
      <c r="I19"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19" s="17" t="str">
        <v>J1 J42 J43 J44 J502 J602</v>
      </c>
      <c r="K19" s="17" t="str">
        <v>Connector_PinHeader_2.54mm:PinHeader_1x03_P2.54mm_Vertical</v>
      </c>
      <c r="L19" s="17" t="str">
        <v>Unspecified</v>
      </c>
    </row>
    <row r="20" ht="87" customHeight="1">
      <c r="A20" s="17" t="str">
        <v>ACS712ELCTR-05B-T</v>
      </c>
      <c r="B20" s="17" t="str">
        <v>ACS712ELCTR-05B-T</v>
      </c>
      <c r="C20" s="19" t="n">
        <v>2</v>
      </c>
      <c r="D20" s="19" t="n">
        <v>0</v>
      </c>
      <c r="E20" s="19" t="n">
        <v>1</v>
      </c>
      <c r="F20" s="19" t="n">
        <f>SUM(C20:E20)</f>
        <v>3</v>
      </c>
      <c r="G20" s="17" t="str">
        <v>each</v>
      </c>
      <c r="H20" s="20" t="str">
        <v>DigiKey</v>
      </c>
      <c r="I20" s="17" t="str">
        <v>OPEN - course-stock allocation: please confirm how many of Requested_total the course can supply; request only the shortfall from DigiKey/Mouser. Requested_total includes proposed spares and is total demand, not confirmed stock or an additional buy quantity.</v>
      </c>
      <c r="J20" s="17" t="str">
        <v>U2 U3</v>
      </c>
      <c r="K20" s="17" t="str">
        <v>Package_SO:SOIC-8_3.9x4.9mm_P1.27mm</v>
      </c>
      <c r="L20" s="17" t="str">
        <v>Allegro MicroSystems</v>
      </c>
    </row>
    <row r="21" ht="87" customHeight="1">
      <c r="A21" s="17" t="str">
        <v>GCM1885C2A102FA16D</v>
      </c>
      <c r="B21" s="17" t="str">
        <v>1n</v>
      </c>
      <c r="C21" s="19" t="n">
        <v>2</v>
      </c>
      <c r="D21" s="19" t="n">
        <v>0</v>
      </c>
      <c r="E21" s="19" t="n">
        <v>1</v>
      </c>
      <c r="F21" s="19" t="n">
        <f>SUM(C21:E21)</f>
        <v>3</v>
      </c>
      <c r="G21" s="17" t="str">
        <v>each</v>
      </c>
      <c r="H21" s="20" t="str">
        <v>DigiKey</v>
      </c>
      <c r="I21" s="17" t="str">
        <v>OPEN - course-stock allocation: please confirm how many of Requested_total the course can supply; request only the shortfall from DigiKey/Mouser. Requested_total includes proposed spares and is total demand, not confirmed stock or an additional buy quantity.</v>
      </c>
      <c r="J21" s="17" t="str">
        <v>C4 C7</v>
      </c>
      <c r="K21" s="17" t="str">
        <v>Capacitor_SMD:C_0603_1608Metric</v>
      </c>
      <c r="L21" s="17" t="str">
        <v>Murata</v>
      </c>
    </row>
    <row r="22" ht="87" customHeight="1">
      <c r="A22" s="17" t="str">
        <v>ERJ-3EKF1001V</v>
      </c>
      <c r="B22" s="17" t="str">
        <v>1k</v>
      </c>
      <c r="C22" s="19" t="n">
        <v>14</v>
      </c>
      <c r="D22" s="19" t="n">
        <v>0</v>
      </c>
      <c r="E22" s="19" t="n">
        <v>1</v>
      </c>
      <c r="F22" s="19" t="n">
        <f>SUM(C22:E22)</f>
        <v>15</v>
      </c>
      <c r="G22" s="17" t="str">
        <v>each</v>
      </c>
      <c r="H22" s="20" t="str">
        <v>DigiKey</v>
      </c>
      <c r="I22" s="17" t="str">
        <v>OPEN - course-stock allocation: please confirm how many of Requested_total the course can supply; request only the shortfall from DigiKey/Mouser. Requested_total includes proposed spares and is total demand, not confirmed stock or an additional buy quantity.</v>
      </c>
      <c r="J22" s="17" t="str">
        <v>R5 R8 R510 R511 R512 R513 R610 R611 R612 R613 R710 R711 R712 R713</v>
      </c>
      <c r="K22" s="17" t="str">
        <v>Resistor_SMD:R_0603_1608Metric</v>
      </c>
      <c r="L22" s="17" t="str">
        <v>Panasonic</v>
      </c>
    </row>
    <row r="23" ht="87" customHeight="1">
      <c r="A23" s="17" t="str">
        <v>RC0603FR-0747KL</v>
      </c>
      <c r="B23" s="17" t="str">
        <v>47k</v>
      </c>
      <c r="C23" s="19" t="n">
        <v>2</v>
      </c>
      <c r="D23" s="19" t="n">
        <v>0</v>
      </c>
      <c r="E23" s="19" t="n">
        <v>1</v>
      </c>
      <c r="F23" s="19" t="n">
        <f>SUM(C23:E23)</f>
        <v>3</v>
      </c>
      <c r="G23" s="17" t="str">
        <v>each</v>
      </c>
      <c r="H23" s="20" t="str">
        <v>DigiKey</v>
      </c>
      <c r="I23" s="17" t="str">
        <v>OPEN - course-stock allocation: please confirm how many of Requested_total the course can supply; request only the shortfall from DigiKey/Mouser. Requested_total includes proposed spares and is total demand, not confirmed stock or an additional buy quantity.</v>
      </c>
      <c r="J23" s="17" t="str">
        <v>R401 R412</v>
      </c>
      <c r="K23" s="17" t="str">
        <v>Resistor_SMD:R_0603_1608Metric</v>
      </c>
      <c r="L23" s="17" t="str">
        <v>YAGEO</v>
      </c>
    </row>
    <row r="24" ht="87" customHeight="1">
      <c r="A24" s="17" t="str">
        <v>TPS564252DRLR</v>
      </c>
      <c r="B24" s="17" t="str">
        <v>TPS564252DRLR</v>
      </c>
      <c r="C24" s="19" t="n">
        <v>3</v>
      </c>
      <c r="D24" s="19" t="n">
        <v>0</v>
      </c>
      <c r="E24" s="19" t="n">
        <v>1</v>
      </c>
      <c r="F24" s="19" t="n">
        <f>SUM(C24:E24)</f>
        <v>4</v>
      </c>
      <c r="G24" s="17" t="str">
        <v>each</v>
      </c>
      <c r="H24" s="20" t="str">
        <v>DigiKey</v>
      </c>
      <c r="I24" s="17" t="str">
        <v>OPEN - course-stock allocation: please confirm how many of Requested_total the course can supply; request only the shortfall from DigiKey/Mouser. Requested_total includes proposed spares and is total demand, not confirmed stock or an additional buy quantity.</v>
      </c>
      <c r="J24" s="17" t="str">
        <v>U40 U41 U42</v>
      </c>
      <c r="K24" s="17" t="str">
        <v>Package_TO_SOT_SMD:SOT-563</v>
      </c>
      <c r="L24" s="17" t="str">
        <v>Texas Instruments</v>
      </c>
    </row>
    <row r="25" ht="87" customHeight="1">
      <c r="A25" s="17" t="str">
        <v>SDCHA1V8040-4R7-R</v>
      </c>
      <c r="B25" s="17" t="str">
        <v>4.7uH / 5.8A</v>
      </c>
      <c r="C25" s="19" t="n">
        <v>3</v>
      </c>
      <c r="D25" s="19" t="n">
        <v>0</v>
      </c>
      <c r="E25" s="19" t="n">
        <v>1</v>
      </c>
      <c r="F25" s="19" t="n">
        <f>SUM(C25:E25)</f>
        <v>4</v>
      </c>
      <c r="G25" s="17" t="str">
        <v>each</v>
      </c>
      <c r="H25" s="20" t="str">
        <v>DigiKey</v>
      </c>
      <c r="I25" s="17" t="str">
        <v>OPEN - course-stock allocation: please confirm how many of Requested_total the course can supply; request only the shortfall from DigiKey/Mouser. Requested_total includes proposed spares and is total demand, not confirmed stock or an additional buy quantity.</v>
      </c>
      <c r="J25" s="17" t="str">
        <v>L1 L2 L3</v>
      </c>
      <c r="K25" s="17" t="str">
        <v>Lab4_Power:Eaton_SDCHA1V8040</v>
      </c>
      <c r="L25" s="17" t="str">
        <v>Eaton</v>
      </c>
    </row>
    <row r="26" ht="132" customHeight="1">
      <c r="A26" s="17" t="str">
        <v>GRM219R61C226ME15L</v>
      </c>
      <c r="B26" s="17" t="str">
        <v>22u / 16V; 22u /16V</v>
      </c>
      <c r="C26" s="19" t="n">
        <v>7</v>
      </c>
      <c r="D26" s="19" t="n">
        <v>0</v>
      </c>
      <c r="E26" s="19" t="n">
        <v>2</v>
      </c>
      <c r="F26" s="19" t="n">
        <f>SUM(C26:E26)</f>
        <v>9</v>
      </c>
      <c r="G26" s="17" t="str">
        <v>each</v>
      </c>
      <c r="H26" s="20" t="str">
        <v>DigiKey</v>
      </c>
      <c r="I26" s="17" t="str">
        <v>OPEN - course-stock allocation: please confirm how many of Requested_total the course can supply; request only the shortfall from DigiKey/Mouser. Requested_total includes proposed spares and is total demand, not confirmed stock or an additional buy quantity. OPEN: manufacturer typical DC-bias curves found Oct28. Effective capacitance falls well below nominal; input/output filtering and control-loop review must close before fabrication. Present selection is not qualified. See Power-margin-review.md.</v>
      </c>
      <c r="J26" s="17" t="str">
        <v>C412 C413 C422 C423 C432 C433 C700</v>
      </c>
      <c r="K26" s="17" t="str">
        <v>Capacitor_SMD:C_0805_2012Metric</v>
      </c>
      <c r="L26" s="17" t="str">
        <v>Murata</v>
      </c>
    </row>
    <row r="27" ht="87" customHeight="1">
      <c r="A27" s="17" t="str">
        <v>C0603C220J1GACTU</v>
      </c>
      <c r="B27" s="17" t="str">
        <v>22p C0G</v>
      </c>
      <c r="C27" s="19" t="n">
        <v>3</v>
      </c>
      <c r="D27" s="19" t="n">
        <v>0</v>
      </c>
      <c r="E27" s="19" t="n">
        <v>1</v>
      </c>
      <c r="F27" s="19" t="n">
        <f>SUM(C27:E27)</f>
        <v>4</v>
      </c>
      <c r="G27" s="17" t="str">
        <v>each</v>
      </c>
      <c r="H27" s="20" t="str">
        <v>DigiKey</v>
      </c>
      <c r="I27" s="17" t="str">
        <v>OPEN - course-stock allocation: please confirm how many of Requested_total the course can supply; request only the shortfall from DigiKey/Mouser. Requested_total includes proposed spares and is total demand, not confirmed stock or an additional buy quantity.</v>
      </c>
      <c r="J27" s="17" t="str">
        <v>C414 C424 C434</v>
      </c>
      <c r="K27" s="17" t="str">
        <v>Capacitor_SMD:C_0603_1608Metric</v>
      </c>
      <c r="L27" s="17" t="str">
        <v>KEMET</v>
      </c>
    </row>
    <row r="28" ht="87" customHeight="1">
      <c r="A28" s="17" t="str">
        <v>STM32F401RET6TR</v>
      </c>
      <c r="B28" s="17" t="str">
        <v>STM32F401RET6TR</v>
      </c>
      <c r="C28" s="19" t="n">
        <v>2</v>
      </c>
      <c r="D28" s="19" t="n">
        <v>0</v>
      </c>
      <c r="E28" s="19" t="n">
        <v>1</v>
      </c>
      <c r="F28" s="19" t="n">
        <f>SUM(C28:E28)</f>
        <v>3</v>
      </c>
      <c r="G28" s="17" t="str">
        <v>each</v>
      </c>
      <c r="H28" s="20" t="str">
        <v>DigiKey</v>
      </c>
      <c r="I28" s="17" t="str">
        <v>OPEN - course-stock allocation: please confirm how many of Requested_total the course can supply; request only the shortfall from DigiKey/Mouser. Requested_total includes proposed spares and is total demand, not confirmed stock or an additional buy quantity.</v>
      </c>
      <c r="J28" s="17" t="str">
        <v>U50 U60</v>
      </c>
      <c r="K28" s="17" t="str">
        <v>Package_QFP:LQFP-64_10x10mm_P0.5mm</v>
      </c>
      <c r="L28" s="17" t="str">
        <v>STMicroelectronics</v>
      </c>
    </row>
    <row r="29" ht="87" customHeight="1">
      <c r="A29" s="17" t="str">
        <v>GRM21BR71C475KE51L</v>
      </c>
      <c r="B29" s="17" t="str">
        <v>4.7u VDD bulk; 4.7u VCAP1</v>
      </c>
      <c r="C29" s="19" t="n">
        <v>4</v>
      </c>
      <c r="D29" s="19" t="n">
        <v>0</v>
      </c>
      <c r="E29" s="19" t="n">
        <v>2</v>
      </c>
      <c r="F29" s="19" t="n">
        <f>SUM(C29:E29)</f>
        <v>6</v>
      </c>
      <c r="G29" s="17" t="str">
        <v>each</v>
      </c>
      <c r="H29" s="20" t="str">
        <v>DigiKey</v>
      </c>
      <c r="I29" s="17" t="str">
        <v>OPEN - course-stock allocation: please confirm how many of Requested_total the course can supply; request only the shortfall from DigiKey/Mouser. Requested_total includes proposed spares and is total demand, not confirmed stock or an additional buy quantity.</v>
      </c>
      <c r="J29" s="17" t="str">
        <v>C505 C605 C506 C606</v>
      </c>
      <c r="K29" s="17" t="str">
        <v>Capacitor_SMD:C_0805_2012Metric</v>
      </c>
      <c r="L29" s="17" t="str">
        <v>Murata</v>
      </c>
    </row>
    <row r="30" ht="87" customHeight="1">
      <c r="A30" s="17" t="str">
        <v>742863160</v>
      </c>
      <c r="B30" s="17" t="str">
        <v>600R @100MHz</v>
      </c>
      <c r="C30" s="19" t="n">
        <v>2</v>
      </c>
      <c r="D30" s="19" t="n">
        <v>0</v>
      </c>
      <c r="E30" s="19" t="n">
        <v>1</v>
      </c>
      <c r="F30" s="19" t="n">
        <f>SUM(C30:E30)</f>
        <v>3</v>
      </c>
      <c r="G30" s="17" t="str">
        <v>each</v>
      </c>
      <c r="H30" s="20" t="str">
        <v>DigiKey</v>
      </c>
      <c r="I30" s="17" t="str">
        <v>OPEN - course-stock allocation: please confirm how many of Requested_total the course can supply; request only the shortfall from DigiKey/Mouser. Requested_total includes proposed spares and is total demand, not confirmed stock or an additional buy quantity.</v>
      </c>
      <c r="J30" s="17" t="str">
        <v>FB50 FB60</v>
      </c>
      <c r="K30" s="17" t="str">
        <v>Inductor_SMD:L_0603_1608Metric</v>
      </c>
      <c r="L30" s="17" t="str">
        <v>Wurth Elektronik</v>
      </c>
    </row>
    <row r="31" ht="87" customHeight="1">
      <c r="A31" s="17" t="str">
        <v>SWT0210-045026GSA</v>
      </c>
      <c r="B31" s="17" t="str">
        <v>SWT0210-045026GSA</v>
      </c>
      <c r="C31" s="19" t="n">
        <v>5</v>
      </c>
      <c r="D31" s="19" t="n">
        <v>0</v>
      </c>
      <c r="E31" s="19" t="n">
        <v>1</v>
      </c>
      <c r="F31" s="19" t="n">
        <f>SUM(C31:E31)</f>
        <v>6</v>
      </c>
      <c r="G31" s="17" t="str">
        <v>each</v>
      </c>
      <c r="H31" s="20" t="str">
        <v>DigiKey</v>
      </c>
      <c r="I31" s="17" t="str">
        <v>OPEN - course-stock allocation: please confirm how many of Requested_total the course can supply; request only the shortfall from DigiKey/Mouser. Requested_total includes proposed spares and is total demand, not confirmed stock or an additional buy quantity.</v>
      </c>
      <c r="J31" s="17" t="str">
        <v>SW50 SW51 SW60 SW61 SW70</v>
      </c>
      <c r="K31" s="17" t="str">
        <v>Lab4_Switches:GCT_SWT0210_4.5x4.5mm</v>
      </c>
      <c r="L31" s="17" t="str">
        <v>GCT</v>
      </c>
    </row>
    <row r="32" ht="102" customHeight="1">
      <c r="A32" s="17" t="str">
        <v>Header 1x06 / 2.54 mm / vertical</v>
      </c>
      <c r="B32" s="17" t="str">
        <v>SWD (2.54mm)</v>
      </c>
      <c r="C32" s="19" t="n">
        <v>2</v>
      </c>
      <c r="D32" s="19" t="n">
        <v>0</v>
      </c>
      <c r="E32" s="19" t="n">
        <v>1</v>
      </c>
      <c r="F32" s="19" t="n">
        <f>SUM(C32:E32)</f>
        <v>3</v>
      </c>
      <c r="G32" s="17" t="str">
        <v>each</v>
      </c>
      <c r="H32" s="20" t="str">
        <v>Course stock</v>
      </c>
      <c r="I32"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32" s="17" t="str">
        <v>J501 J601</v>
      </c>
      <c r="K32" s="17" t="str">
        <v>Connector_PinHeader_2.54mm:PinHeader_1x06_P2.54mm_Vertical</v>
      </c>
      <c r="L32" s="17" t="str">
        <v>Unspecified</v>
      </c>
    </row>
    <row r="33" ht="87" customHeight="1">
      <c r="A33" s="17" t="str">
        <v>LTST-C190GKT</v>
      </c>
      <c r="B33" s="17" t="str">
        <v>STATUS green</v>
      </c>
      <c r="C33" s="19" t="n">
        <v>3</v>
      </c>
      <c r="D33" s="19" t="n">
        <v>0</v>
      </c>
      <c r="E33" s="19" t="n">
        <v>1</v>
      </c>
      <c r="F33" s="19" t="n">
        <f>SUM(C33:E33)</f>
        <v>4</v>
      </c>
      <c r="G33" s="17" t="str">
        <v>each</v>
      </c>
      <c r="H33" s="20" t="str">
        <v>DigiKey</v>
      </c>
      <c r="I33" s="17" t="str">
        <v>OPEN - course-stock allocation: please confirm how many of Requested_total the course can supply; request only the shortfall from DigiKey/Mouser. Requested_total includes proposed spares and is total demand, not confirmed stock or an additional buy quantity.</v>
      </c>
      <c r="J33" s="17" t="str">
        <v>D510 D610 D710</v>
      </c>
      <c r="K33" s="17" t="str">
        <v>LED_SMD:LED_0603_1608Metric</v>
      </c>
      <c r="L33" s="17" t="str">
        <v>Lite-On</v>
      </c>
    </row>
    <row r="34" ht="87" customHeight="1">
      <c r="A34" s="17" t="str">
        <v>LTST-C190KRKT</v>
      </c>
      <c r="B34" s="17" t="str">
        <v>ERR red</v>
      </c>
      <c r="C34" s="19" t="n">
        <v>3</v>
      </c>
      <c r="D34" s="19" t="n">
        <v>0</v>
      </c>
      <c r="E34" s="19" t="n">
        <v>1</v>
      </c>
      <c r="F34" s="19" t="n">
        <f>SUM(C34:E34)</f>
        <v>4</v>
      </c>
      <c r="G34" s="17" t="str">
        <v>each</v>
      </c>
      <c r="H34" s="20" t="str">
        <v>DigiKey</v>
      </c>
      <c r="I34" s="17" t="str">
        <v>OPEN - course-stock allocation: please confirm how many of Requested_total the course can supply; request only the shortfall from DigiKey/Mouser. Requested_total includes proposed spares and is total demand, not confirmed stock or an additional buy quantity.</v>
      </c>
      <c r="J34" s="17" t="str">
        <v>D511 D611 D711</v>
      </c>
      <c r="K34" s="17" t="str">
        <v>LED_SMD:LED_0603_1608Metric</v>
      </c>
      <c r="L34" s="17" t="str">
        <v>Lite-On</v>
      </c>
    </row>
    <row r="35" ht="87" customHeight="1">
      <c r="A35" s="17" t="str">
        <v>LTST-C190KSKT</v>
      </c>
      <c r="B35" s="17" t="str">
        <v>DEG_A yellow; DEG_B yellow</v>
      </c>
      <c r="C35" s="19" t="n">
        <v>6</v>
      </c>
      <c r="D35" s="19" t="n">
        <v>0</v>
      </c>
      <c r="E35" s="19" t="n">
        <v>2</v>
      </c>
      <c r="F35" s="19" t="n">
        <f>SUM(C35:E35)</f>
        <v>8</v>
      </c>
      <c r="G35" s="17" t="str">
        <v>each</v>
      </c>
      <c r="H35" s="20" t="str">
        <v>DigiKey</v>
      </c>
      <c r="I35" s="17" t="str">
        <v>OPEN - course-stock allocation: please confirm how many of Requested_total the course can supply; request only the shortfall from DigiKey/Mouser. Requested_total includes proposed spares and is total demand, not confirmed stock or an additional buy quantity.</v>
      </c>
      <c r="J35" s="17" t="str">
        <v>D512 D612 D712 D513 D613 D713</v>
      </c>
      <c r="K35" s="17" t="str">
        <v>LED_SMD:LED_0603_1608Metric</v>
      </c>
      <c r="L35" s="17" t="str">
        <v>Lite-On</v>
      </c>
    </row>
    <row r="36" ht="102" customHeight="1">
      <c r="A36" s="17" t="str">
        <v>Header 1x13 / 2.54 mm / vertical</v>
      </c>
      <c r="B36" s="17" t="str">
        <v>LAB3 rows 1-13</v>
      </c>
      <c r="C36" s="19" t="n">
        <v>3</v>
      </c>
      <c r="D36" s="19" t="n">
        <v>0</v>
      </c>
      <c r="E36" s="19" t="n">
        <v>1</v>
      </c>
      <c r="F36" s="19" t="n">
        <f>SUM(C36:E36)</f>
        <v>4</v>
      </c>
      <c r="G36" s="17" t="str">
        <v>each</v>
      </c>
      <c r="H36" s="20" t="str">
        <v>Course stock</v>
      </c>
      <c r="I36"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36" s="17" t="str">
        <v>J503 J603 J703</v>
      </c>
      <c r="K36" s="17" t="str">
        <v>Connector_PinHeader_2.54mm:PinHeader_1x13_P2.54mm_Vertical</v>
      </c>
      <c r="L36" s="17" t="str">
        <v>Unspecified</v>
      </c>
    </row>
    <row r="37" ht="102" customHeight="1">
      <c r="A37" s="17" t="str">
        <v>Header 1x08 / 2.54 mm / vertical</v>
      </c>
      <c r="B37" s="17" t="str">
        <v>Additional probes</v>
      </c>
      <c r="C37" s="19" t="n">
        <v>1</v>
      </c>
      <c r="D37" s="19" t="n">
        <v>0</v>
      </c>
      <c r="E37" s="19" t="n">
        <v>1</v>
      </c>
      <c r="F37" s="19" t="n">
        <f>SUM(C37:E37)</f>
        <v>2</v>
      </c>
      <c r="G37" s="17" t="str">
        <v>each</v>
      </c>
      <c r="H37" s="20" t="str">
        <v>Course stock</v>
      </c>
      <c r="I37"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37" s="17" t="str">
        <v>J504</v>
      </c>
      <c r="K37" s="17" t="str">
        <v>Connector_PinHeader_2.54mm:PinHeader_1x08_P2.54mm_Vertical</v>
      </c>
      <c r="L37" s="17" t="str">
        <v>Unspecified</v>
      </c>
    </row>
    <row r="38" ht="102" customHeight="1">
      <c r="A38" s="17" t="str">
        <v>Header 1x11 / 2.54 mm / vertical</v>
      </c>
      <c r="B38" s="17" t="str">
        <v>Additional probes</v>
      </c>
      <c r="C38" s="19" t="n">
        <v>1</v>
      </c>
      <c r="D38" s="19" t="n">
        <v>0</v>
      </c>
      <c r="E38" s="19" t="n">
        <v>1</v>
      </c>
      <c r="F38" s="19" t="n">
        <f>SUM(C38:E38)</f>
        <v>2</v>
      </c>
      <c r="G38" s="17" t="str">
        <v>each</v>
      </c>
      <c r="H38" s="20" t="str">
        <v>Course stock</v>
      </c>
      <c r="I38"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38" s="17" t="str">
        <v>J604</v>
      </c>
      <c r="K38" s="17" t="str">
        <v>Connector_PinHeader_2.54mm:PinHeader_1x11_P2.54mm_Vertical</v>
      </c>
      <c r="L38" s="17" t="str">
        <v>Unspecified</v>
      </c>
    </row>
    <row r="39" ht="102" customHeight="1">
      <c r="A39" s="17" t="str">
        <v>Header 1x05 / 2.54 mm / vertical</v>
      </c>
      <c r="B39" s="17" t="str">
        <v>Pi extra probes</v>
      </c>
      <c r="C39" s="19" t="n">
        <v>1</v>
      </c>
      <c r="D39" s="19" t="n">
        <v>0</v>
      </c>
      <c r="E39" s="19" t="n">
        <v>1</v>
      </c>
      <c r="F39" s="19" t="n">
        <f>SUM(C39:E39)</f>
        <v>2</v>
      </c>
      <c r="G39" s="17" t="str">
        <v>each</v>
      </c>
      <c r="H39" s="20" t="str">
        <v>Course stock</v>
      </c>
      <c r="I39"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39" s="17" t="str">
        <v>J704</v>
      </c>
      <c r="K39" s="17" t="str">
        <v>Connector_PinHeader_2.54mm:PinHeader_1x05_P2.54mm_Vertical</v>
      </c>
      <c r="L39" s="17" t="str">
        <v>Unspecified</v>
      </c>
    </row>
    <row r="40" ht="102" customHeight="1">
      <c r="A40" s="17" t="str">
        <v>Header 1x07 / 2.54 mm / vertical</v>
      </c>
      <c r="B40" s="17" t="str">
        <v>Reserved / encoder probes</v>
      </c>
      <c r="C40" s="19" t="n">
        <v>1</v>
      </c>
      <c r="D40" s="19" t="n">
        <v>0</v>
      </c>
      <c r="E40" s="19" t="n">
        <v>1</v>
      </c>
      <c r="F40" s="19" t="n">
        <f>SUM(C40:E40)</f>
        <v>2</v>
      </c>
      <c r="G40" s="17" t="str">
        <v>each</v>
      </c>
      <c r="H40" s="20" t="str">
        <v>Course stock</v>
      </c>
      <c r="I40" s="17" t="str">
        <v>OPEN - course-stock allocation: please confirm how many of Requested_total the course can supply; request only the shortfall from DigiKey/Mouser. Requested_total includes proposed spares and is total demand, not confirmed stock or an additional buy quantity. Confirm the row/pin dimensions in Footprint for these generic headers.</v>
      </c>
      <c r="J40" s="17" t="str">
        <v>J605</v>
      </c>
      <c r="K40" s="17" t="str">
        <v>Connector_PinHeader_2.54mm:PinHeader_1x07_P2.54mm_Vertical</v>
      </c>
      <c r="L40" s="17" t="str">
        <v>Unspecified</v>
      </c>
    </row>
    <row r="41" ht="87" customHeight="1">
      <c r="A41" s="17" t="str">
        <v>L298N</v>
      </c>
      <c r="B41" s="17" t="str">
        <v>L298N</v>
      </c>
      <c r="C41" s="19" t="n">
        <v>1</v>
      </c>
      <c r="D41" s="19" t="n">
        <v>0</v>
      </c>
      <c r="E41" s="19" t="n">
        <v>1</v>
      </c>
      <c r="F41" s="19" t="n">
        <f>SUM(C41:E41)</f>
        <v>2</v>
      </c>
      <c r="G41" s="17" t="str">
        <v>each</v>
      </c>
      <c r="H41" s="20" t="str">
        <v>DigiKey</v>
      </c>
      <c r="I41" s="17" t="str">
        <v>OPEN - course-stock allocation: please confirm how many of Requested_total the course can supply; request only the shortfall from DigiKey/Mouser. Requested_total includes proposed spares and is total demand, not confirmed stock or an additional buy quantity.</v>
      </c>
      <c r="J41" s="17" t="str">
        <v>U80</v>
      </c>
      <c r="K41" s="17" t="str">
        <v>Package_TO_SOT_THT:TO-220-15_P2.54x5.08mm_StaggerOdd_Lead4.58mm_Vertical</v>
      </c>
      <c r="L41" s="17" t="str">
        <v>STMicroelectronics</v>
      </c>
    </row>
    <row r="42" ht="87" customHeight="1">
      <c r="A42" s="17" t="str">
        <v>SK520B</v>
      </c>
      <c r="B42" s="17" t="str">
        <v>SK520B</v>
      </c>
      <c r="C42" s="19" t="n">
        <v>8</v>
      </c>
      <c r="D42" s="19" t="n">
        <v>0</v>
      </c>
      <c r="E42" s="19" t="n">
        <v>1</v>
      </c>
      <c r="F42" s="19" t="n">
        <f>SUM(C42:E42)</f>
        <v>9</v>
      </c>
      <c r="G42" s="17" t="str">
        <v>each</v>
      </c>
      <c r="H42" s="20" t="str">
        <v>DigiKey</v>
      </c>
      <c r="I42" s="17" t="str">
        <v>OPEN - course-stock allocation: please confirm how many of Requested_total the course can supply; request only the shortfall from DigiKey/Mouser. Requested_total includes proposed spares and is total demand, not confirmed stock or an additional buy quantity.</v>
      </c>
      <c r="J42" s="17" t="str">
        <v>D800 D801 D802 D803 D804 D805 D806 D807</v>
      </c>
      <c r="K42" s="17" t="str">
        <v>Diode_SMD:D_SMB</v>
      </c>
      <c r="L42" s="17" t="str">
        <v>SMC Diode Solutions</v>
      </c>
    </row>
    <row r="43" ht="57" customHeight="1">
      <c r="A43" s="17" t="str">
        <v>6396BG</v>
      </c>
      <c r="B43" s="17" t="str">
        <v>L298 heatsink; hardware NOT included</v>
      </c>
      <c r="C43" s="19" t="n">
        <v>0</v>
      </c>
      <c r="D43" s="19" t="n">
        <v>1</v>
      </c>
      <c r="E43" s="19" t="n">
        <v>0</v>
      </c>
      <c r="F43" s="19" t="n">
        <f>SUM(C43:E43)</f>
        <v>1</v>
      </c>
      <c r="G43" s="17" t="str">
        <v>each</v>
      </c>
      <c r="H43" s="20" t="str">
        <v>DigiKey</v>
      </c>
      <c r="I43" s="17" t="str">
        <v>HS80 implemented on PCB: two soldered anchors plus M3 tab clamp. Drawing-based fit checked; assembly and thermal behavior untested. Confirm course allocation.</v>
      </c>
      <c r="J43" s="17" t="str">
        <v>HS80</v>
      </c>
      <c r="K43" s="17" t="str">
        <v>Lab4_Mechanical:Boyd_6396BG_StraightPins; installed in PCB</v>
      </c>
      <c r="L43" s="17" t="str">
        <v>Boyd Laconia</v>
      </c>
    </row>
    <row r="44" ht="87" customHeight="1">
      <c r="A44" s="17" t="str">
        <v>FIT0587</v>
      </c>
      <c r="B44" s="17" t="str">
        <v>PH2.0-6 cable for motor/encoder adapter donor</v>
      </c>
      <c r="C44" s="19" t="n">
        <v>0</v>
      </c>
      <c r="D44" s="19" t="n">
        <v>2</v>
      </c>
      <c r="E44" s="19" t="n">
        <v>1</v>
      </c>
      <c r="F44" s="19" t="n">
        <f>SUM(C44:E44)</f>
        <v>3</v>
      </c>
      <c r="G44" s="17" t="str">
        <v>each</v>
      </c>
      <c r="H44" s="20" t="str">
        <v>DigiKey</v>
      </c>
      <c r="I44" s="17" t="str">
        <v>OPEN - course-stock allocation: please confirm how many of Requested_total the course can supply; request only the shortfall from DigiKey/Mouser. Requested_total includes proposed spares and is total demand, not confirmed stock or an additional buy quantity.</v>
      </c>
      <c r="J44" s="17" t="str">
        <v>Off-board</v>
      </c>
      <c r="K44" s="17" t="str">
        <v>Off-board / mechanical</v>
      </c>
      <c r="L44" s="17" t="str">
        <v>DFRobot</v>
      </c>
    </row>
  </sheetData>
  <conditionalFormatting sqref="I9:I44">
    <cfRule type="containsText" dxfId="1" priority="1" operator="containsText" text="OPEN:"/>
  </conditionalFormatting>
  <hyperlinks>
    <hyperlink ref="A5" r:id="rIdBOMLink1"/>
    <hyperlink ref="B5" r:id="rIdBOMLink2"/>
    <hyperlink ref="H5" r:id="rIdBOMLink3"/>
    <hyperlink ref="H9" r:id="rIdBOMLink4"/>
    <hyperlink ref="H10" r:id="rIdBOMLink5"/>
    <hyperlink ref="H11" r:id="rIdBOMLink6"/>
    <hyperlink ref="H12" r:id="rIdBOMLink7"/>
    <hyperlink ref="H13" r:id="rIdBOMLink8"/>
    <hyperlink ref="H14" r:id="rIdBOMLink9"/>
    <hyperlink ref="H15" r:id="rIdBOMLink10"/>
    <hyperlink ref="H16" r:id="rIdBOMLink11"/>
    <hyperlink ref="H17" r:id="rIdBOMLink12"/>
    <hyperlink ref="H18" r:id="rIdBOMLink13"/>
    <hyperlink ref="H19" r:id="rIdBOMLink14"/>
    <hyperlink ref="H20" r:id="rIdBOMLink15"/>
    <hyperlink ref="H21" r:id="rIdBOMLink16"/>
    <hyperlink ref="H22" r:id="rIdBOMLink17"/>
    <hyperlink ref="H23" r:id="rIdBOMLink18"/>
    <hyperlink ref="H24" r:id="rIdBOMLink19"/>
    <hyperlink ref="H25" r:id="rIdBOMLink20"/>
    <hyperlink ref="H26" r:id="rIdBOMLink21"/>
    <hyperlink ref="H27" r:id="rIdBOMLink22"/>
    <hyperlink ref="H28" r:id="rIdBOMLink23"/>
    <hyperlink ref="H29" r:id="rIdBOMLink24"/>
    <hyperlink ref="H30" r:id="rIdBOMLink25"/>
    <hyperlink ref="H31" r:id="rIdBOMLink26"/>
    <hyperlink ref="H32" r:id="rIdBOMLink27"/>
    <hyperlink ref="H33" r:id="rIdBOMLink28"/>
    <hyperlink ref="H34" r:id="rIdBOMLink29"/>
    <hyperlink ref="H35" r:id="rIdBOMLink30"/>
    <hyperlink ref="H36" r:id="rIdBOMLink31"/>
    <hyperlink ref="H37" r:id="rIdBOMLink32"/>
    <hyperlink ref="H38" r:id="rIdBOMLink33"/>
    <hyperlink ref="H39" r:id="rIdBOMLink34"/>
    <hyperlink ref="H40" r:id="rIdBOMLink35"/>
    <hyperlink ref="H41" r:id="rIdBOMLink36"/>
    <hyperlink ref="H42" r:id="rIdBOMLink37"/>
    <hyperlink ref="H43" r:id="rIdBOMLink38"/>
    <hyperlink ref="H44" r:id="rIdBOMLink39"/>
  </hyperlinks>
  <pageMargins left="0.7" right="0.7" top="0.75" bottom="0.75" header="0.3" footer="0.3"/>
  <tableParts count="1">
    <tablePart r:id="R9becd142ae914eaf"/>
  </tableParts>
</worksheet>
</file>